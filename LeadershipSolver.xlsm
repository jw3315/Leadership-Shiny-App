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228" codeName="{EFFCB103-AD96-A003-248E-DF2DB03C906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wang\Documents\R\LeadershipModel\"/>
    </mc:Choice>
  </mc:AlternateContent>
  <xr:revisionPtr revIDLastSave="0" documentId="13_ncr:1_{605F5A66-02E6-4BDB-80C9-1ECAAC5241D2}" xr6:coauthVersionLast="34" xr6:coauthVersionMax="34" xr10:uidLastSave="{00000000-0000-0000-0000-000000000000}"/>
  <bookViews>
    <workbookView xWindow="0" yWindow="0" windowWidth="19200" windowHeight="6960" activeTab="2" xr2:uid="{FE0FB96A-DDBD-414E-AEB0-6142224D65F4}"/>
  </bookViews>
  <sheets>
    <sheet name="Input" sheetId="3" r:id="rId1"/>
    <sheet name="Weight" sheetId="1" r:id="rId2"/>
    <sheet name="Simulation" sheetId="2" r:id="rId3"/>
  </sheets>
  <definedNames>
    <definedName name="solver_adj" localSheetId="2" hidden="1">Simulation!$B$32:$F$32</definedName>
    <definedName name="solver_cvg" localSheetId="2" hidden="1">0.0001</definedName>
    <definedName name="solver_drv" localSheetId="2" hidden="1">1</definedName>
    <definedName name="solver_eng" localSheetId="2" hidden="1">1</definedName>
    <definedName name="solver_est" localSheetId="2" hidden="1">1</definedName>
    <definedName name="solver_itr" localSheetId="2" hidden="1">2147483647</definedName>
    <definedName name="solver_lhs1" localSheetId="2" hidden="1">Simulation!$B$32:$F$32</definedName>
    <definedName name="solver_lhs10" localSheetId="2" hidden="1">Simulation!$W$4:$AD$4</definedName>
    <definedName name="solver_lhs11" localSheetId="2" hidden="1">Simulation!$B$4:$F$4</definedName>
    <definedName name="solver_lhs12" localSheetId="2" hidden="1">Simulation!$W$4:$AD$4</definedName>
    <definedName name="solver_lhs13" localSheetId="2" hidden="1">Simulation!$B$4:$F$4</definedName>
    <definedName name="solver_lhs14" localSheetId="2" hidden="1">Simulation!$W$4:$AD$4</definedName>
    <definedName name="solver_lhs15" localSheetId="2" hidden="1">Simulation!$B$4:$F$4</definedName>
    <definedName name="solver_lhs16" localSheetId="2" hidden="1">Simulation!$W$4:$AD$4</definedName>
    <definedName name="solver_lhs17" localSheetId="2" hidden="1">Simulation!$B$4:$F$4</definedName>
    <definedName name="solver_lhs18" localSheetId="2" hidden="1">Simulation!$W$4:$AD$4</definedName>
    <definedName name="solver_lhs19" localSheetId="2" hidden="1">Simulation!$B$4:$F$4</definedName>
    <definedName name="solver_lhs2" localSheetId="2" hidden="1">Simulation!$B$32:$F$32</definedName>
    <definedName name="solver_lhs20" localSheetId="2" hidden="1">Simulation!$W$4:$AD$4</definedName>
    <definedName name="solver_lhs21" localSheetId="2" hidden="1">Simulation!$B$4:$F$4</definedName>
    <definedName name="solver_lhs22" localSheetId="2" hidden="1">Simulation!$W$4:$AD$4</definedName>
    <definedName name="solver_lhs23" localSheetId="2" hidden="1">Simulation!$B$4:$F$4</definedName>
    <definedName name="solver_lhs24" localSheetId="2" hidden="1">Simulation!$W$4:$AD$4</definedName>
    <definedName name="solver_lhs25" localSheetId="2" hidden="1">Simulation!$B$4:$F$4</definedName>
    <definedName name="solver_lhs26" localSheetId="2" hidden="1">Simulation!$W$4:$AD$4</definedName>
    <definedName name="solver_lhs27" localSheetId="2" hidden="1">Simulation!$B$4:$F$4</definedName>
    <definedName name="solver_lhs28" localSheetId="2" hidden="1">Simulation!$W$4:$AD$4</definedName>
    <definedName name="solver_lhs29" localSheetId="2" hidden="1">Simulation!$B$4:$F$4</definedName>
    <definedName name="solver_lhs3" localSheetId="2" hidden="1">Simulation!$W$32:$AD$32</definedName>
    <definedName name="solver_lhs30" localSheetId="2" hidden="1">Simulation!$W$4:$AD$4</definedName>
    <definedName name="solver_lhs31" localSheetId="2" hidden="1">Simulation!$B$4:$F$4</definedName>
    <definedName name="solver_lhs32" localSheetId="2" hidden="1">Simulation!$W$4:$AD$4</definedName>
    <definedName name="solver_lhs33" localSheetId="2" hidden="1">Simulation!$B$4:$F$4</definedName>
    <definedName name="solver_lhs34" localSheetId="2" hidden="1">Simulation!$W$4:$AD$4</definedName>
    <definedName name="solver_lhs35" localSheetId="2" hidden="1">Simulation!$B$4:$F$4</definedName>
    <definedName name="solver_lhs36" localSheetId="2" hidden="1">Simulation!$W$4:$AD$4</definedName>
    <definedName name="solver_lhs4" localSheetId="2" hidden="1">Simulation!$W$4:$AD$4</definedName>
    <definedName name="solver_lhs5" localSheetId="2" hidden="1">Simulation!$B$4:$F$4</definedName>
    <definedName name="solver_lhs6" localSheetId="2" hidden="1">Simulation!$W$4:$AD$4</definedName>
    <definedName name="solver_lhs7" localSheetId="2" hidden="1">Simulation!$B$4:$F$4</definedName>
    <definedName name="solver_lhs8" localSheetId="2" hidden="1">Simulation!$W$4:$AD$4</definedName>
    <definedName name="solver_lhs9" localSheetId="2" hidden="1">Simulation!$B$4:$F$4</definedName>
    <definedName name="solver_mip" localSheetId="2" hidden="1">2147483647</definedName>
    <definedName name="solver_mni" localSheetId="2" hidden="1">30</definedName>
    <definedName name="solver_mrt" localSheetId="2" hidden="1">0.075</definedName>
    <definedName name="solver_msl" localSheetId="2" hidden="1">2</definedName>
    <definedName name="solver_neg" localSheetId="2" hidden="1">1</definedName>
    <definedName name="solver_nod" localSheetId="2" hidden="1">2147483647</definedName>
    <definedName name="solver_num" localSheetId="2" hidden="1">3</definedName>
    <definedName name="solver_nwt" localSheetId="2" hidden="1">1</definedName>
    <definedName name="solver_opt" localSheetId="2" hidden="1">Simulation!$AE$32</definedName>
    <definedName name="solver_pre" localSheetId="2" hidden="1">0.000001</definedName>
    <definedName name="solver_rbv" localSheetId="2" hidden="1">1</definedName>
    <definedName name="solver_rel1" localSheetId="2" hidden="1">3</definedName>
    <definedName name="solver_rel10" localSheetId="2" hidden="1">3</definedName>
    <definedName name="solver_rel11" localSheetId="2" hidden="1">3</definedName>
    <definedName name="solver_rel12" localSheetId="2" hidden="1">3</definedName>
    <definedName name="solver_rel13" localSheetId="2" hidden="1">3</definedName>
    <definedName name="solver_rel14" localSheetId="2" hidden="1">3</definedName>
    <definedName name="solver_rel15" localSheetId="2" hidden="1">3</definedName>
    <definedName name="solver_rel16" localSheetId="2" hidden="1">3</definedName>
    <definedName name="solver_rel17" localSheetId="2" hidden="1">3</definedName>
    <definedName name="solver_rel18" localSheetId="2" hidden="1">3</definedName>
    <definedName name="solver_rel19" localSheetId="2" hidden="1">3</definedName>
    <definedName name="solver_rel2" localSheetId="2" hidden="1">1</definedName>
    <definedName name="solver_rel20" localSheetId="2" hidden="1">3</definedName>
    <definedName name="solver_rel21" localSheetId="2" hidden="1">3</definedName>
    <definedName name="solver_rel22" localSheetId="2" hidden="1">3</definedName>
    <definedName name="solver_rel23" localSheetId="2" hidden="1">3</definedName>
    <definedName name="solver_rel24" localSheetId="2" hidden="1">3</definedName>
    <definedName name="solver_rel25" localSheetId="2" hidden="1">3</definedName>
    <definedName name="solver_rel26" localSheetId="2" hidden="1">3</definedName>
    <definedName name="solver_rel27" localSheetId="2" hidden="1">3</definedName>
    <definedName name="solver_rel28" localSheetId="2" hidden="1">3</definedName>
    <definedName name="solver_rel29" localSheetId="2" hidden="1">3</definedName>
    <definedName name="solver_rel3" localSheetId="2" hidden="1">3</definedName>
    <definedName name="solver_rel30" localSheetId="2" hidden="1">3</definedName>
    <definedName name="solver_rel31" localSheetId="2" hidden="1">3</definedName>
    <definedName name="solver_rel32" localSheetId="2" hidden="1">3</definedName>
    <definedName name="solver_rel33" localSheetId="2" hidden="1">3</definedName>
    <definedName name="solver_rel34" localSheetId="2" hidden="1">3</definedName>
    <definedName name="solver_rel35" localSheetId="2" hidden="1">3</definedName>
    <definedName name="solver_rel36" localSheetId="2" hidden="1">3</definedName>
    <definedName name="solver_rel4" localSheetId="2" hidden="1">3</definedName>
    <definedName name="solver_rel5" localSheetId="2" hidden="1">3</definedName>
    <definedName name="solver_rel6" localSheetId="2" hidden="1">3</definedName>
    <definedName name="solver_rel7" localSheetId="2" hidden="1">3</definedName>
    <definedName name="solver_rel8" localSheetId="2" hidden="1">3</definedName>
    <definedName name="solver_rel9" localSheetId="2" hidden="1">3</definedName>
    <definedName name="solver_rhs1" localSheetId="2" hidden="1">1</definedName>
    <definedName name="solver_rhs10" localSheetId="2" hidden="1">0</definedName>
    <definedName name="solver_rhs11" localSheetId="2" hidden="1">0</definedName>
    <definedName name="solver_rhs12" localSheetId="2" hidden="1">0</definedName>
    <definedName name="solver_rhs13" localSheetId="2" hidden="1">0</definedName>
    <definedName name="solver_rhs14" localSheetId="2" hidden="1">0</definedName>
    <definedName name="solver_rhs15" localSheetId="2" hidden="1">0</definedName>
    <definedName name="solver_rhs16" localSheetId="2" hidden="1">0</definedName>
    <definedName name="solver_rhs17" localSheetId="2" hidden="1">0</definedName>
    <definedName name="solver_rhs18" localSheetId="2" hidden="1">0</definedName>
    <definedName name="solver_rhs19" localSheetId="2" hidden="1">0</definedName>
    <definedName name="solver_rhs2" localSheetId="2" hidden="1">7</definedName>
    <definedName name="solver_rhs20" localSheetId="2" hidden="1">0</definedName>
    <definedName name="solver_rhs21" localSheetId="2" hidden="1">0</definedName>
    <definedName name="solver_rhs22" localSheetId="2" hidden="1">0</definedName>
    <definedName name="solver_rhs23" localSheetId="2" hidden="1">0</definedName>
    <definedName name="solver_rhs24" localSheetId="2" hidden="1">0</definedName>
    <definedName name="solver_rhs25" localSheetId="2" hidden="1">0</definedName>
    <definedName name="solver_rhs26" localSheetId="2" hidden="1">0</definedName>
    <definedName name="solver_rhs27" localSheetId="2" hidden="1">0</definedName>
    <definedName name="solver_rhs28" localSheetId="2" hidden="1">0</definedName>
    <definedName name="solver_rhs29" localSheetId="2" hidden="1">0</definedName>
    <definedName name="solver_rhs3" localSheetId="2" hidden="1">0</definedName>
    <definedName name="solver_rhs30" localSheetId="2" hidden="1">0</definedName>
    <definedName name="solver_rhs31" localSheetId="2" hidden="1">0</definedName>
    <definedName name="solver_rhs32" localSheetId="2" hidden="1">0</definedName>
    <definedName name="solver_rhs33" localSheetId="2" hidden="1">0</definedName>
    <definedName name="solver_rhs34" localSheetId="2" hidden="1">0</definedName>
    <definedName name="solver_rhs35" localSheetId="2" hidden="1">0</definedName>
    <definedName name="solver_rhs36" localSheetId="2" hidden="1">0</definedName>
    <definedName name="solver_rhs4" localSheetId="2" hidden="1">0</definedName>
    <definedName name="solver_rhs5" localSheetId="2" hidden="1">0</definedName>
    <definedName name="solver_rhs6" localSheetId="2" hidden="1">0</definedName>
    <definedName name="solver_rhs7" localSheetId="2" hidden="1">0</definedName>
    <definedName name="solver_rhs8" localSheetId="2" hidden="1">0</definedName>
    <definedName name="solver_rhs9" localSheetId="2" hidden="1">0</definedName>
    <definedName name="solver_rlx" localSheetId="2" hidden="1">2</definedName>
    <definedName name="solver_rsd" localSheetId="2" hidden="1">0</definedName>
    <definedName name="solver_scl" localSheetId="2" hidden="1">1</definedName>
    <definedName name="solver_sho" localSheetId="2" hidden="1">2</definedName>
    <definedName name="solver_ssz" localSheetId="2" hidden="1">100</definedName>
    <definedName name="solver_tim" localSheetId="2" hidden="1">2147483647</definedName>
    <definedName name="solver_tol" localSheetId="2" hidden="1">0.01</definedName>
    <definedName name="solver_typ" localSheetId="2" hidden="1">2</definedName>
    <definedName name="solver_val" localSheetId="2" hidden="1">0</definedName>
    <definedName name="solver_ver" localSheetId="2" hidden="1">3</definedName>
  </definedNames>
  <calcPr calcId="179017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F32" i="2" l="1"/>
  <c r="AG32" i="2"/>
  <c r="P32" i="2" a="1"/>
  <c r="P32" i="2" s="1"/>
  <c r="X32" i="2" s="1"/>
  <c r="Q32" i="2" a="1"/>
  <c r="Q32" i="2" s="1"/>
  <c r="Y32" i="2" s="1"/>
  <c r="R32" i="2" a="1"/>
  <c r="R32" i="2" s="1"/>
  <c r="Z32" i="2" s="1"/>
  <c r="S32" i="2" a="1"/>
  <c r="S32" i="2" s="1"/>
  <c r="AA32" i="2" s="1"/>
  <c r="T32" i="2" a="1"/>
  <c r="T32" i="2" s="1"/>
  <c r="AB32" i="2" s="1"/>
  <c r="U32" i="2" a="1"/>
  <c r="U32" i="2" s="1"/>
  <c r="AC32" i="2" s="1"/>
  <c r="V32" i="2" a="1"/>
  <c r="V32" i="2" s="1"/>
  <c r="AD32" i="2" s="1"/>
  <c r="P20" i="2" a="1"/>
  <c r="P20" i="2" s="1"/>
  <c r="X20" i="2" s="1"/>
  <c r="Q20" i="2" a="1"/>
  <c r="Q20" i="2" s="1"/>
  <c r="Y20" i="2" s="1"/>
  <c r="R20" i="2" a="1"/>
  <c r="R20" i="2" s="1"/>
  <c r="Z20" i="2" s="1"/>
  <c r="S20" i="2" a="1"/>
  <c r="S20" i="2" s="1"/>
  <c r="AA20" i="2" s="1"/>
  <c r="T20" i="2" a="1"/>
  <c r="T20" i="2" s="1"/>
  <c r="AB20" i="2" s="1"/>
  <c r="U20" i="2" a="1"/>
  <c r="U20" i="2" s="1"/>
  <c r="AC20" i="2" s="1"/>
  <c r="V20" i="2" a="1"/>
  <c r="V20" i="2" s="1"/>
  <c r="AD20" i="2" s="1"/>
  <c r="AF20" i="2"/>
  <c r="AG20" i="2"/>
  <c r="P21" i="2" a="1"/>
  <c r="P21" i="2" s="1"/>
  <c r="X21" i="2" s="1"/>
  <c r="Q21" i="2" a="1"/>
  <c r="Q21" i="2" s="1"/>
  <c r="Y21" i="2" s="1"/>
  <c r="R21" i="2" a="1"/>
  <c r="R21" i="2" s="1"/>
  <c r="Z21" i="2" s="1"/>
  <c r="S21" i="2" a="1"/>
  <c r="S21" i="2" s="1"/>
  <c r="AA21" i="2" s="1"/>
  <c r="T21" i="2" a="1"/>
  <c r="T21" i="2" s="1"/>
  <c r="AB21" i="2" s="1"/>
  <c r="U21" i="2" a="1"/>
  <c r="U21" i="2" s="1"/>
  <c r="AC21" i="2" s="1"/>
  <c r="V21" i="2" a="1"/>
  <c r="V21" i="2" s="1"/>
  <c r="AD21" i="2" s="1"/>
  <c r="AF21" i="2"/>
  <c r="AG21" i="2"/>
  <c r="P22" i="2" a="1"/>
  <c r="P22" i="2" s="1"/>
  <c r="X22" i="2" s="1"/>
  <c r="Q22" i="2" a="1"/>
  <c r="Q22" i="2" s="1"/>
  <c r="Y22" i="2" s="1"/>
  <c r="R22" i="2" a="1"/>
  <c r="R22" i="2" s="1"/>
  <c r="Z22" i="2" s="1"/>
  <c r="S22" i="2" a="1"/>
  <c r="S22" i="2" s="1"/>
  <c r="AA22" i="2" s="1"/>
  <c r="T22" i="2" a="1"/>
  <c r="T22" i="2" s="1"/>
  <c r="AB22" i="2" s="1"/>
  <c r="U22" i="2" a="1"/>
  <c r="U22" i="2" s="1"/>
  <c r="AC22" i="2" s="1"/>
  <c r="V22" i="2" a="1"/>
  <c r="V22" i="2" s="1"/>
  <c r="AD22" i="2" s="1"/>
  <c r="AF22" i="2"/>
  <c r="AG22" i="2"/>
  <c r="P23" i="2" a="1"/>
  <c r="P23" i="2" s="1"/>
  <c r="X23" i="2" s="1"/>
  <c r="Q23" i="2" a="1"/>
  <c r="Q23" i="2" s="1"/>
  <c r="Y23" i="2" s="1"/>
  <c r="R23" i="2" a="1"/>
  <c r="R23" i="2" s="1"/>
  <c r="Z23" i="2" s="1"/>
  <c r="S23" i="2" a="1"/>
  <c r="S23" i="2" s="1"/>
  <c r="AA23" i="2" s="1"/>
  <c r="T23" i="2" a="1"/>
  <c r="T23" i="2" s="1"/>
  <c r="AB23" i="2" s="1"/>
  <c r="U23" i="2" a="1"/>
  <c r="U23" i="2" s="1"/>
  <c r="AC23" i="2" s="1"/>
  <c r="V23" i="2" a="1"/>
  <c r="V23" i="2" s="1"/>
  <c r="AD23" i="2" s="1"/>
  <c r="AF23" i="2"/>
  <c r="AG23" i="2"/>
  <c r="P24" i="2" a="1"/>
  <c r="P24" i="2" s="1"/>
  <c r="X24" i="2" s="1"/>
  <c r="Q24" i="2" a="1"/>
  <c r="Q24" i="2" s="1"/>
  <c r="Y24" i="2" s="1"/>
  <c r="R24" i="2" a="1"/>
  <c r="R24" i="2" s="1"/>
  <c r="Z24" i="2" s="1"/>
  <c r="S24" i="2" a="1"/>
  <c r="S24" i="2" s="1"/>
  <c r="AA24" i="2" s="1"/>
  <c r="T24" i="2" a="1"/>
  <c r="T24" i="2" s="1"/>
  <c r="AB24" i="2" s="1"/>
  <c r="U24" i="2" a="1"/>
  <c r="U24" i="2" s="1"/>
  <c r="AC24" i="2" s="1"/>
  <c r="V24" i="2" a="1"/>
  <c r="V24" i="2" s="1"/>
  <c r="AD24" i="2" s="1"/>
  <c r="AF24" i="2"/>
  <c r="AG24" i="2"/>
  <c r="P25" i="2" a="1"/>
  <c r="P25" i="2" s="1"/>
  <c r="X25" i="2" s="1"/>
  <c r="Q25" i="2" a="1"/>
  <c r="Q25" i="2" s="1"/>
  <c r="Y25" i="2" s="1"/>
  <c r="R25" i="2" a="1"/>
  <c r="R25" i="2" s="1"/>
  <c r="Z25" i="2" s="1"/>
  <c r="S25" i="2" a="1"/>
  <c r="S25" i="2" s="1"/>
  <c r="AA25" i="2" s="1"/>
  <c r="T25" i="2" a="1"/>
  <c r="T25" i="2" s="1"/>
  <c r="AB25" i="2" s="1"/>
  <c r="U25" i="2" a="1"/>
  <c r="U25" i="2" s="1"/>
  <c r="AC25" i="2" s="1"/>
  <c r="V25" i="2" a="1"/>
  <c r="V25" i="2" s="1"/>
  <c r="AD25" i="2" s="1"/>
  <c r="AF25" i="2"/>
  <c r="AG25" i="2"/>
  <c r="P26" i="2" a="1"/>
  <c r="P26" i="2" s="1"/>
  <c r="X26" i="2" s="1"/>
  <c r="Q26" i="2" a="1"/>
  <c r="Q26" i="2" s="1"/>
  <c r="Y26" i="2" s="1"/>
  <c r="R26" i="2" a="1"/>
  <c r="R26" i="2" s="1"/>
  <c r="Z26" i="2" s="1"/>
  <c r="S26" i="2" a="1"/>
  <c r="S26" i="2" s="1"/>
  <c r="AA26" i="2" s="1"/>
  <c r="T26" i="2" a="1"/>
  <c r="T26" i="2" s="1"/>
  <c r="AB26" i="2" s="1"/>
  <c r="U26" i="2" a="1"/>
  <c r="U26" i="2" s="1"/>
  <c r="AC26" i="2" s="1"/>
  <c r="V26" i="2" a="1"/>
  <c r="V26" i="2" s="1"/>
  <c r="AD26" i="2" s="1"/>
  <c r="AF26" i="2"/>
  <c r="AG26" i="2"/>
  <c r="P27" i="2" a="1"/>
  <c r="P27" i="2" s="1"/>
  <c r="X27" i="2" s="1"/>
  <c r="Q27" i="2" a="1"/>
  <c r="Q27" i="2" s="1"/>
  <c r="Y27" i="2" s="1"/>
  <c r="R27" i="2" a="1"/>
  <c r="R27" i="2" s="1"/>
  <c r="Z27" i="2" s="1"/>
  <c r="S27" i="2" a="1"/>
  <c r="S27" i="2" s="1"/>
  <c r="AA27" i="2" s="1"/>
  <c r="T27" i="2" a="1"/>
  <c r="T27" i="2" s="1"/>
  <c r="AB27" i="2" s="1"/>
  <c r="U27" i="2" a="1"/>
  <c r="U27" i="2" s="1"/>
  <c r="AC27" i="2" s="1"/>
  <c r="V27" i="2" a="1"/>
  <c r="V27" i="2" s="1"/>
  <c r="AD27" i="2" s="1"/>
  <c r="AF27" i="2"/>
  <c r="AG27" i="2"/>
  <c r="P28" i="2" a="1"/>
  <c r="P28" i="2" s="1"/>
  <c r="X28" i="2" s="1"/>
  <c r="Q28" i="2" a="1"/>
  <c r="Q28" i="2" s="1"/>
  <c r="Y28" i="2" s="1"/>
  <c r="R28" i="2" a="1"/>
  <c r="R28" i="2" s="1"/>
  <c r="Z28" i="2" s="1"/>
  <c r="S28" i="2" a="1"/>
  <c r="S28" i="2" s="1"/>
  <c r="AA28" i="2" s="1"/>
  <c r="T28" i="2" a="1"/>
  <c r="T28" i="2" s="1"/>
  <c r="AB28" i="2" s="1"/>
  <c r="U28" i="2" a="1"/>
  <c r="U28" i="2" s="1"/>
  <c r="AC28" i="2" s="1"/>
  <c r="V28" i="2" a="1"/>
  <c r="V28" i="2" s="1"/>
  <c r="AD28" i="2" s="1"/>
  <c r="AF28" i="2"/>
  <c r="AG28" i="2"/>
  <c r="P29" i="2" a="1"/>
  <c r="P29" i="2" s="1"/>
  <c r="X29" i="2" s="1"/>
  <c r="Q29" i="2" a="1"/>
  <c r="Q29" i="2" s="1"/>
  <c r="Y29" i="2" s="1"/>
  <c r="R29" i="2" a="1"/>
  <c r="R29" i="2" s="1"/>
  <c r="Z29" i="2" s="1"/>
  <c r="S29" i="2" a="1"/>
  <c r="S29" i="2" s="1"/>
  <c r="AA29" i="2" s="1"/>
  <c r="T29" i="2" a="1"/>
  <c r="T29" i="2" s="1"/>
  <c r="AB29" i="2" s="1"/>
  <c r="U29" i="2" a="1"/>
  <c r="U29" i="2" s="1"/>
  <c r="AC29" i="2" s="1"/>
  <c r="V29" i="2" a="1"/>
  <c r="V29" i="2" s="1"/>
  <c r="AD29" i="2" s="1"/>
  <c r="AF29" i="2"/>
  <c r="AG29" i="2"/>
  <c r="P30" i="2" a="1"/>
  <c r="P30" i="2" s="1"/>
  <c r="X30" i="2" s="1"/>
  <c r="Q30" i="2" a="1"/>
  <c r="Q30" i="2" s="1"/>
  <c r="Y30" i="2" s="1"/>
  <c r="R30" i="2" a="1"/>
  <c r="R30" i="2" s="1"/>
  <c r="Z30" i="2" s="1"/>
  <c r="S30" i="2" a="1"/>
  <c r="S30" i="2" s="1"/>
  <c r="AA30" i="2" s="1"/>
  <c r="T30" i="2" a="1"/>
  <c r="T30" i="2" s="1"/>
  <c r="AB30" i="2" s="1"/>
  <c r="U30" i="2" a="1"/>
  <c r="U30" i="2" s="1"/>
  <c r="AC30" i="2" s="1"/>
  <c r="V30" i="2" a="1"/>
  <c r="V30" i="2" s="1"/>
  <c r="AD30" i="2" s="1"/>
  <c r="AF30" i="2"/>
  <c r="AG30" i="2"/>
  <c r="P31" i="2" a="1"/>
  <c r="P31" i="2" s="1"/>
  <c r="X31" i="2" s="1"/>
  <c r="Q31" i="2" a="1"/>
  <c r="Q31" i="2" s="1"/>
  <c r="Y31" i="2" s="1"/>
  <c r="R31" i="2" a="1"/>
  <c r="R31" i="2" s="1"/>
  <c r="Z31" i="2" s="1"/>
  <c r="S31" i="2" a="1"/>
  <c r="S31" i="2" s="1"/>
  <c r="AA31" i="2" s="1"/>
  <c r="T31" i="2" a="1"/>
  <c r="T31" i="2" s="1"/>
  <c r="AB31" i="2" s="1"/>
  <c r="U31" i="2" a="1"/>
  <c r="U31" i="2" s="1"/>
  <c r="AC31" i="2" s="1"/>
  <c r="V31" i="2" a="1"/>
  <c r="V31" i="2" s="1"/>
  <c r="AD31" i="2" s="1"/>
  <c r="AF31" i="2"/>
  <c r="AG31" i="2"/>
  <c r="P19" i="2" a="1"/>
  <c r="P19" i="2" s="1"/>
  <c r="X19" i="2" s="1"/>
  <c r="Q19" i="2" a="1"/>
  <c r="Q19" i="2" s="1"/>
  <c r="Y19" i="2" s="1"/>
  <c r="R19" i="2" a="1"/>
  <c r="R19" i="2" s="1"/>
  <c r="Z19" i="2" s="1"/>
  <c r="S19" i="2" a="1"/>
  <c r="S19" i="2" s="1"/>
  <c r="AA19" i="2" s="1"/>
  <c r="T19" i="2" a="1"/>
  <c r="T19" i="2" s="1"/>
  <c r="AB19" i="2" s="1"/>
  <c r="U19" i="2" a="1"/>
  <c r="U19" i="2" s="1"/>
  <c r="AC19" i="2" s="1"/>
  <c r="V19" i="2" a="1"/>
  <c r="V19" i="2" s="1"/>
  <c r="AD19" i="2" s="1"/>
  <c r="AF19" i="2"/>
  <c r="AG19" i="2"/>
  <c r="O19" i="2" a="1"/>
  <c r="O19" i="2" s="1"/>
  <c r="W19" i="2" s="1"/>
  <c r="O20" i="2" a="1"/>
  <c r="O20" i="2" s="1"/>
  <c r="W20" i="2" s="1"/>
  <c r="O21" i="2" a="1"/>
  <c r="O21" i="2" s="1"/>
  <c r="W21" i="2" s="1"/>
  <c r="O22" i="2" a="1"/>
  <c r="O22" i="2" s="1"/>
  <c r="W22" i="2" s="1"/>
  <c r="O23" i="2" a="1"/>
  <c r="O23" i="2" s="1"/>
  <c r="W23" i="2" s="1"/>
  <c r="O24" i="2" a="1"/>
  <c r="O24" i="2" s="1"/>
  <c r="W24" i="2" s="1"/>
  <c r="O25" i="2" a="1"/>
  <c r="O25" i="2" s="1"/>
  <c r="W25" i="2" s="1"/>
  <c r="O26" i="2" a="1"/>
  <c r="O26" i="2" s="1"/>
  <c r="W26" i="2" s="1"/>
  <c r="O27" i="2" a="1"/>
  <c r="O27" i="2" s="1"/>
  <c r="W27" i="2" s="1"/>
  <c r="O28" i="2" a="1"/>
  <c r="O28" i="2" s="1"/>
  <c r="W28" i="2" s="1"/>
  <c r="O29" i="2" a="1"/>
  <c r="O29" i="2" s="1"/>
  <c r="W29" i="2" s="1"/>
  <c r="O30" i="2" a="1"/>
  <c r="O30" i="2" s="1"/>
  <c r="W30" i="2" s="1"/>
  <c r="O31" i="2" a="1"/>
  <c r="O31" i="2" s="1"/>
  <c r="W31" i="2" s="1"/>
  <c r="O32" i="2" a="1"/>
  <c r="O32" i="2" s="1"/>
  <c r="W32" i="2" s="1"/>
  <c r="O4" i="2" a="1"/>
  <c r="O4" i="2" s="1"/>
  <c r="W4" i="2" s="1"/>
  <c r="O5" i="2" a="1"/>
  <c r="O5" i="2" s="1"/>
  <c r="W5" i="2" s="1"/>
  <c r="O6" i="2" a="1"/>
  <c r="O6" i="2" s="1"/>
  <c r="W6" i="2" s="1"/>
  <c r="O7" i="2" a="1"/>
  <c r="O7" i="2" s="1"/>
  <c r="W7" i="2" s="1"/>
  <c r="O8" i="2" a="1"/>
  <c r="O8" i="2" s="1"/>
  <c r="W8" i="2" s="1"/>
  <c r="O9" i="2" a="1"/>
  <c r="O9" i="2" s="1"/>
  <c r="W9" i="2" s="1"/>
  <c r="O10" i="2" a="1"/>
  <c r="O10" i="2" s="1"/>
  <c r="W10" i="2" s="1"/>
  <c r="O11" i="2" a="1"/>
  <c r="O11" i="2" s="1"/>
  <c r="W11" i="2" s="1"/>
  <c r="O12" i="2" a="1"/>
  <c r="O12" i="2" s="1"/>
  <c r="W12" i="2" s="1"/>
  <c r="O13" i="2" a="1"/>
  <c r="O13" i="2" s="1"/>
  <c r="W13" i="2" s="1"/>
  <c r="O14" i="2" a="1"/>
  <c r="O14" i="2" s="1"/>
  <c r="W14" i="2" s="1"/>
  <c r="O15" i="2" a="1"/>
  <c r="O15" i="2" s="1"/>
  <c r="W15" i="2" s="1"/>
  <c r="O16" i="2" a="1"/>
  <c r="O16" i="2" s="1"/>
  <c r="W16" i="2" s="1"/>
  <c r="O17" i="2" a="1"/>
  <c r="O17" i="2" s="1"/>
  <c r="W17" i="2" s="1"/>
  <c r="O18" i="2" a="1"/>
  <c r="O18" i="2" s="1"/>
  <c r="W18" i="2" s="1"/>
  <c r="O3" i="2" a="1"/>
  <c r="O3" i="2" s="1"/>
  <c r="AG18" i="2"/>
  <c r="AF18" i="2"/>
  <c r="AF4" i="2"/>
  <c r="AF5" i="2"/>
  <c r="AF6" i="2"/>
  <c r="AF7" i="2"/>
  <c r="AF8" i="2"/>
  <c r="AF9" i="2"/>
  <c r="AF10" i="2"/>
  <c r="AF11" i="2"/>
  <c r="AF12" i="2"/>
  <c r="AF13" i="2"/>
  <c r="AF14" i="2"/>
  <c r="AF15" i="2"/>
  <c r="AF16" i="2"/>
  <c r="AF17" i="2"/>
  <c r="Q4" i="2" a="1"/>
  <c r="Q4" i="2" s="1"/>
  <c r="Y4" i="2" s="1"/>
  <c r="R4" i="2" a="1"/>
  <c r="R4" i="2" s="1"/>
  <c r="Z4" i="2" s="1"/>
  <c r="S4" i="2" a="1"/>
  <c r="S4" i="2" s="1"/>
  <c r="AA4" i="2" s="1"/>
  <c r="T4" i="2" a="1"/>
  <c r="T4" i="2" s="1"/>
  <c r="AB4" i="2" s="1"/>
  <c r="U4" i="2" a="1"/>
  <c r="U4" i="2" s="1"/>
  <c r="AC4" i="2" s="1"/>
  <c r="V4" i="2" a="1"/>
  <c r="V4" i="2" s="1"/>
  <c r="AD4" i="2" s="1"/>
  <c r="Q5" i="2" a="1"/>
  <c r="Q5" i="2" s="1"/>
  <c r="Y5" i="2" s="1"/>
  <c r="R5" i="2" a="1"/>
  <c r="R5" i="2" s="1"/>
  <c r="Z5" i="2" s="1"/>
  <c r="S5" i="2" a="1"/>
  <c r="S5" i="2" s="1"/>
  <c r="AA5" i="2" s="1"/>
  <c r="T5" i="2" a="1"/>
  <c r="T5" i="2" s="1"/>
  <c r="AB5" i="2" s="1"/>
  <c r="U5" i="2" a="1"/>
  <c r="U5" i="2" s="1"/>
  <c r="AC5" i="2" s="1"/>
  <c r="V5" i="2" a="1"/>
  <c r="V5" i="2" s="1"/>
  <c r="AD5" i="2" s="1"/>
  <c r="Q6" i="2" a="1"/>
  <c r="Q6" i="2" s="1"/>
  <c r="Y6" i="2" s="1"/>
  <c r="R6" i="2" a="1"/>
  <c r="R6" i="2" s="1"/>
  <c r="Z6" i="2" s="1"/>
  <c r="S6" i="2" a="1"/>
  <c r="S6" i="2" s="1"/>
  <c r="AA6" i="2" s="1"/>
  <c r="T6" i="2" a="1"/>
  <c r="T6" i="2" s="1"/>
  <c r="AB6" i="2" s="1"/>
  <c r="U6" i="2" a="1"/>
  <c r="U6" i="2" s="1"/>
  <c r="AC6" i="2" s="1"/>
  <c r="V6" i="2" a="1"/>
  <c r="V6" i="2" s="1"/>
  <c r="AD6" i="2" s="1"/>
  <c r="Q7" i="2" a="1"/>
  <c r="Q7" i="2" s="1"/>
  <c r="Y7" i="2" s="1"/>
  <c r="R7" i="2" a="1"/>
  <c r="R7" i="2" s="1"/>
  <c r="Z7" i="2" s="1"/>
  <c r="S7" i="2" a="1"/>
  <c r="S7" i="2" s="1"/>
  <c r="AA7" i="2" s="1"/>
  <c r="T7" i="2" a="1"/>
  <c r="T7" i="2" s="1"/>
  <c r="AB7" i="2" s="1"/>
  <c r="U7" i="2" a="1"/>
  <c r="U7" i="2" s="1"/>
  <c r="AC7" i="2" s="1"/>
  <c r="V7" i="2" a="1"/>
  <c r="V7" i="2" s="1"/>
  <c r="AD7" i="2" s="1"/>
  <c r="Q8" i="2" a="1"/>
  <c r="Q8" i="2" s="1"/>
  <c r="Y8" i="2" s="1"/>
  <c r="R8" i="2" a="1"/>
  <c r="R8" i="2" s="1"/>
  <c r="Z8" i="2" s="1"/>
  <c r="S8" i="2" a="1"/>
  <c r="S8" i="2" s="1"/>
  <c r="AA8" i="2" s="1"/>
  <c r="T8" i="2" a="1"/>
  <c r="T8" i="2" s="1"/>
  <c r="AB8" i="2" s="1"/>
  <c r="U8" i="2" a="1"/>
  <c r="U8" i="2" s="1"/>
  <c r="AC8" i="2" s="1"/>
  <c r="V8" i="2" a="1"/>
  <c r="V8" i="2" s="1"/>
  <c r="AD8" i="2" s="1"/>
  <c r="Q9" i="2" a="1"/>
  <c r="Q9" i="2" s="1"/>
  <c r="Y9" i="2" s="1"/>
  <c r="R9" i="2" a="1"/>
  <c r="R9" i="2" s="1"/>
  <c r="Z9" i="2" s="1"/>
  <c r="S9" i="2" a="1"/>
  <c r="S9" i="2" s="1"/>
  <c r="AA9" i="2" s="1"/>
  <c r="T9" i="2" a="1"/>
  <c r="T9" i="2" s="1"/>
  <c r="AB9" i="2" s="1"/>
  <c r="U9" i="2" a="1"/>
  <c r="U9" i="2" s="1"/>
  <c r="AC9" i="2" s="1"/>
  <c r="V9" i="2" a="1"/>
  <c r="V9" i="2" s="1"/>
  <c r="AD9" i="2" s="1"/>
  <c r="Q10" i="2" a="1"/>
  <c r="Q10" i="2" s="1"/>
  <c r="Y10" i="2" s="1"/>
  <c r="R10" i="2" a="1"/>
  <c r="R10" i="2" s="1"/>
  <c r="Z10" i="2" s="1"/>
  <c r="S10" i="2" a="1"/>
  <c r="S10" i="2" s="1"/>
  <c r="AA10" i="2" s="1"/>
  <c r="T10" i="2" a="1"/>
  <c r="T10" i="2" s="1"/>
  <c r="AB10" i="2" s="1"/>
  <c r="U10" i="2" a="1"/>
  <c r="U10" i="2" s="1"/>
  <c r="AC10" i="2" s="1"/>
  <c r="V10" i="2" a="1"/>
  <c r="V10" i="2" s="1"/>
  <c r="AD10" i="2" s="1"/>
  <c r="Q11" i="2" a="1"/>
  <c r="Q11" i="2" s="1"/>
  <c r="Y11" i="2" s="1"/>
  <c r="R11" i="2" a="1"/>
  <c r="R11" i="2" s="1"/>
  <c r="Z11" i="2" s="1"/>
  <c r="S11" i="2" a="1"/>
  <c r="S11" i="2" s="1"/>
  <c r="AA11" i="2" s="1"/>
  <c r="T11" i="2" a="1"/>
  <c r="T11" i="2" s="1"/>
  <c r="AB11" i="2" s="1"/>
  <c r="U11" i="2" a="1"/>
  <c r="U11" i="2" s="1"/>
  <c r="AC11" i="2" s="1"/>
  <c r="V11" i="2" a="1"/>
  <c r="V11" i="2" s="1"/>
  <c r="AD11" i="2" s="1"/>
  <c r="Q12" i="2" a="1"/>
  <c r="Q12" i="2" s="1"/>
  <c r="Y12" i="2" s="1"/>
  <c r="R12" i="2" a="1"/>
  <c r="R12" i="2" s="1"/>
  <c r="Z12" i="2" s="1"/>
  <c r="S12" i="2" a="1"/>
  <c r="S12" i="2" s="1"/>
  <c r="AA12" i="2" s="1"/>
  <c r="T12" i="2" a="1"/>
  <c r="T12" i="2" s="1"/>
  <c r="AB12" i="2" s="1"/>
  <c r="U12" i="2" a="1"/>
  <c r="U12" i="2" s="1"/>
  <c r="AC12" i="2" s="1"/>
  <c r="V12" i="2" a="1"/>
  <c r="V12" i="2" s="1"/>
  <c r="AD12" i="2" s="1"/>
  <c r="Q13" i="2" a="1"/>
  <c r="Q13" i="2" s="1"/>
  <c r="Y13" i="2" s="1"/>
  <c r="R13" i="2" a="1"/>
  <c r="R13" i="2" s="1"/>
  <c r="Z13" i="2" s="1"/>
  <c r="S13" i="2" a="1"/>
  <c r="S13" i="2" s="1"/>
  <c r="AA13" i="2" s="1"/>
  <c r="T13" i="2" a="1"/>
  <c r="T13" i="2" s="1"/>
  <c r="AB13" i="2" s="1"/>
  <c r="U13" i="2" a="1"/>
  <c r="U13" i="2" s="1"/>
  <c r="AC13" i="2" s="1"/>
  <c r="V13" i="2" a="1"/>
  <c r="V13" i="2" s="1"/>
  <c r="AD13" i="2" s="1"/>
  <c r="Q14" i="2" a="1"/>
  <c r="Q14" i="2" s="1"/>
  <c r="Y14" i="2" s="1"/>
  <c r="R14" i="2" a="1"/>
  <c r="R14" i="2" s="1"/>
  <c r="Z14" i="2" s="1"/>
  <c r="S14" i="2" a="1"/>
  <c r="S14" i="2" s="1"/>
  <c r="AA14" i="2" s="1"/>
  <c r="T14" i="2" a="1"/>
  <c r="T14" i="2" s="1"/>
  <c r="AB14" i="2" s="1"/>
  <c r="U14" i="2" a="1"/>
  <c r="U14" i="2" s="1"/>
  <c r="AC14" i="2" s="1"/>
  <c r="V14" i="2" a="1"/>
  <c r="V14" i="2" s="1"/>
  <c r="AD14" i="2" s="1"/>
  <c r="Q15" i="2" a="1"/>
  <c r="Q15" i="2" s="1"/>
  <c r="Y15" i="2" s="1"/>
  <c r="R15" i="2" a="1"/>
  <c r="R15" i="2" s="1"/>
  <c r="Z15" i="2" s="1"/>
  <c r="S15" i="2" a="1"/>
  <c r="S15" i="2" s="1"/>
  <c r="AA15" i="2" s="1"/>
  <c r="T15" i="2" a="1"/>
  <c r="T15" i="2" s="1"/>
  <c r="AB15" i="2" s="1"/>
  <c r="U15" i="2" a="1"/>
  <c r="U15" i="2" s="1"/>
  <c r="AC15" i="2" s="1"/>
  <c r="V15" i="2" a="1"/>
  <c r="V15" i="2" s="1"/>
  <c r="AD15" i="2" s="1"/>
  <c r="Q16" i="2" a="1"/>
  <c r="Q16" i="2" s="1"/>
  <c r="Y16" i="2" s="1"/>
  <c r="R16" i="2" a="1"/>
  <c r="R16" i="2" s="1"/>
  <c r="Z16" i="2" s="1"/>
  <c r="S16" i="2" a="1"/>
  <c r="S16" i="2" s="1"/>
  <c r="AA16" i="2" s="1"/>
  <c r="T16" i="2" a="1"/>
  <c r="T16" i="2" s="1"/>
  <c r="AB16" i="2" s="1"/>
  <c r="U16" i="2" a="1"/>
  <c r="U16" i="2" s="1"/>
  <c r="AC16" i="2" s="1"/>
  <c r="V16" i="2" a="1"/>
  <c r="V16" i="2" s="1"/>
  <c r="AD16" i="2" s="1"/>
  <c r="Q17" i="2" a="1"/>
  <c r="Q17" i="2" s="1"/>
  <c r="Y17" i="2" s="1"/>
  <c r="R17" i="2" a="1"/>
  <c r="R17" i="2" s="1"/>
  <c r="Z17" i="2" s="1"/>
  <c r="S17" i="2" a="1"/>
  <c r="S17" i="2" s="1"/>
  <c r="AA17" i="2" s="1"/>
  <c r="T17" i="2" a="1"/>
  <c r="T17" i="2" s="1"/>
  <c r="AB17" i="2" s="1"/>
  <c r="U17" i="2" a="1"/>
  <c r="U17" i="2" s="1"/>
  <c r="AC17" i="2" s="1"/>
  <c r="V17" i="2" a="1"/>
  <c r="V17" i="2" s="1"/>
  <c r="AD17" i="2" s="1"/>
  <c r="Q18" i="2" a="1"/>
  <c r="Q18" i="2" s="1"/>
  <c r="Y18" i="2" s="1"/>
  <c r="R18" i="2" a="1"/>
  <c r="R18" i="2" s="1"/>
  <c r="Z18" i="2" s="1"/>
  <c r="S18" i="2" a="1"/>
  <c r="S18" i="2" s="1"/>
  <c r="AA18" i="2" s="1"/>
  <c r="T18" i="2" a="1"/>
  <c r="T18" i="2" s="1"/>
  <c r="AB18" i="2" s="1"/>
  <c r="U18" i="2" a="1"/>
  <c r="U18" i="2" s="1"/>
  <c r="AC18" i="2" s="1"/>
  <c r="V18" i="2" a="1"/>
  <c r="V18" i="2" s="1"/>
  <c r="AD18" i="2" s="1"/>
  <c r="V3" i="2" a="1"/>
  <c r="V3" i="2" s="1"/>
  <c r="U3" i="2" a="1"/>
  <c r="U3" i="2" s="1"/>
  <c r="T3" i="2" a="1"/>
  <c r="T3" i="2" s="1"/>
  <c r="S3" i="2" a="1"/>
  <c r="S3" i="2" s="1"/>
  <c r="R3" i="2" a="1"/>
  <c r="R3" i="2" s="1"/>
  <c r="Q3" i="2" a="1"/>
  <c r="Q3" i="2" s="1"/>
  <c r="P4" i="2" a="1"/>
  <c r="P4" i="2" s="1"/>
  <c r="X4" i="2" s="1"/>
  <c r="P5" i="2" a="1"/>
  <c r="P5" i="2" s="1"/>
  <c r="X5" i="2" s="1"/>
  <c r="P6" i="2" a="1"/>
  <c r="P6" i="2" s="1"/>
  <c r="X6" i="2" s="1"/>
  <c r="P7" i="2" a="1"/>
  <c r="P7" i="2" s="1"/>
  <c r="X7" i="2" s="1"/>
  <c r="P8" i="2" a="1"/>
  <c r="P8" i="2" s="1"/>
  <c r="X8" i="2" s="1"/>
  <c r="P9" i="2" a="1"/>
  <c r="P9" i="2" s="1"/>
  <c r="X9" i="2" s="1"/>
  <c r="P10" i="2" a="1"/>
  <c r="P10" i="2" s="1"/>
  <c r="X10" i="2" s="1"/>
  <c r="P11" i="2" a="1"/>
  <c r="P11" i="2" s="1"/>
  <c r="X11" i="2" s="1"/>
  <c r="P12" i="2" a="1"/>
  <c r="P12" i="2" s="1"/>
  <c r="X12" i="2" s="1"/>
  <c r="P13" i="2" a="1"/>
  <c r="P13" i="2" s="1"/>
  <c r="X13" i="2" s="1"/>
  <c r="P14" i="2" a="1"/>
  <c r="P14" i="2" s="1"/>
  <c r="X14" i="2" s="1"/>
  <c r="P15" i="2" a="1"/>
  <c r="P15" i="2" s="1"/>
  <c r="X15" i="2" s="1"/>
  <c r="P16" i="2" a="1"/>
  <c r="P16" i="2" s="1"/>
  <c r="X16" i="2" s="1"/>
  <c r="P17" i="2" a="1"/>
  <c r="P17" i="2" s="1"/>
  <c r="X17" i="2" s="1"/>
  <c r="P18" i="2" a="1"/>
  <c r="P18" i="2" s="1"/>
  <c r="X18" i="2" s="1"/>
  <c r="P3" i="2" a="1"/>
  <c r="P3" i="2" s="1"/>
  <c r="AG4" i="2"/>
  <c r="AG5" i="2"/>
  <c r="AG6" i="2"/>
  <c r="AG7" i="2"/>
  <c r="AG8" i="2"/>
  <c r="AG9" i="2"/>
  <c r="AG10" i="2"/>
  <c r="AG11" i="2"/>
  <c r="AG12" i="2"/>
  <c r="AG13" i="2"/>
  <c r="AG14" i="2"/>
  <c r="AG15" i="2"/>
  <c r="AG16" i="2"/>
  <c r="AG17" i="2"/>
  <c r="AG3" i="2"/>
  <c r="AE32" i="2" l="1"/>
  <c r="AE31" i="2"/>
  <c r="AE30" i="2"/>
  <c r="AE29" i="2"/>
  <c r="AE28" i="2"/>
  <c r="AE27" i="2"/>
  <c r="AE26" i="2"/>
  <c r="AE25" i="2"/>
  <c r="AE24" i="2"/>
  <c r="AE23" i="2"/>
  <c r="AE22" i="2"/>
  <c r="AE21" i="2"/>
  <c r="AE20" i="2"/>
  <c r="AE19" i="2"/>
  <c r="AE17" i="2"/>
  <c r="AE14" i="2"/>
  <c r="AE13" i="2"/>
  <c r="AE5" i="2"/>
  <c r="AE15" i="2"/>
  <c r="AE12" i="2"/>
  <c r="AE11" i="2"/>
  <c r="AE8" i="2"/>
  <c r="AE7" i="2"/>
  <c r="AE6" i="2"/>
  <c r="AE18" i="2"/>
  <c r="AE16" i="2"/>
  <c r="AE10" i="2"/>
  <c r="AE9" i="2"/>
  <c r="AE4" i="2"/>
  <c r="AF3" i="2"/>
  <c r="AB3" i="2" l="1"/>
  <c r="AA3" i="2"/>
  <c r="AD3" i="2"/>
  <c r="Z3" i="2"/>
  <c r="AC3" i="2"/>
  <c r="Y3" i="2"/>
  <c r="X3" i="2"/>
  <c r="W3" i="2"/>
  <c r="AE3" i="2" l="1"/>
</calcChain>
</file>

<file path=xl/sharedStrings.xml><?xml version="1.0" encoding="utf-8"?>
<sst xmlns="http://schemas.openxmlformats.org/spreadsheetml/2006/main" count="131" uniqueCount="96">
  <si>
    <t>Orientation</t>
  </si>
  <si>
    <t>Motivation</t>
  </si>
  <si>
    <t>Curiosity</t>
  </si>
  <si>
    <t>Insight</t>
  </si>
  <si>
    <t>Engagement</t>
  </si>
  <si>
    <t>Determination</t>
  </si>
  <si>
    <t>Results</t>
  </si>
  <si>
    <t>Strategic</t>
  </si>
  <si>
    <t>Collaboration and Influence</t>
  </si>
  <si>
    <t>Team Leadership</t>
  </si>
  <si>
    <t>Developing Organizational Capabilities</t>
  </si>
  <si>
    <t>Market Understanding</t>
  </si>
  <si>
    <t>Inclusiveness</t>
  </si>
  <si>
    <t>employID</t>
  </si>
  <si>
    <t>predictor*weight</t>
  </si>
  <si>
    <t>predictor*weight-real</t>
  </si>
  <si>
    <t>diff</t>
  </si>
  <si>
    <t>Leadership Predictors</t>
  </si>
  <si>
    <t>real</t>
  </si>
  <si>
    <t>Orientations for level of competence</t>
  </si>
  <si>
    <t>Weight</t>
  </si>
  <si>
    <t>1. Completes assignments</t>
  </si>
  <si>
    <t>2. Works to make things better</t>
  </si>
  <si>
    <t>3. Achieves goals</t>
  </si>
  <si>
    <t>4. Exceeds goals </t>
  </si>
  <si>
    <t>5. Improves bank’s practices and performance </t>
  </si>
  <si>
    <t>6. Redesigns bank’s practices for breakthrough results</t>
  </si>
  <si>
    <t>7. Transforms business Model </t>
  </si>
  <si>
    <t>1. Understands immediate issues</t>
  </si>
  <si>
    <t>2. Redefines plan within larger strategy</t>
  </si>
  <si>
    <t>3. Sets multi-year priorities</t>
  </si>
  <si>
    <t>4. Defines multi-year strategy for own area</t>
  </si>
  <si>
    <t>5. Changes business strategy in multiple areas</t>
  </si>
  <si>
    <t>6. Creates high impact corporate strategy</t>
  </si>
  <si>
    <t>7. Develops breakthrough corporate strategy</t>
  </si>
  <si>
    <t>1. Responds to requests</t>
  </si>
  <si>
    <t>2. Support colleagues</t>
  </si>
  <si>
    <t>3. Actively engages with colleagues</t>
  </si>
  <si>
    <t>4. Motivates others to work with self</t>
  </si>
  <si>
    <t>5. Facilitates cross-group collaboration</t>
  </si>
  <si>
    <t>6. Establishes collaborative culture</t>
  </si>
  <si>
    <t>7. Forges transformational partnerships</t>
  </si>
  <si>
    <t>1. Directs works</t>
  </si>
  <si>
    <t>2. Explains what to do and why</t>
  </si>
  <si>
    <t>3. Gets input from team</t>
  </si>
  <si>
    <t>4. Inspires team commitment</t>
  </si>
  <si>
    <t>5. Empowers team to work independently</t>
  </si>
  <si>
    <t>6. Motivates diverse teams to perform</t>
  </si>
  <si>
    <t>7. Builds high performance culture</t>
  </si>
  <si>
    <t>1. Supports development efforts</t>
  </si>
  <si>
    <t>2. Encourages others to develop</t>
  </si>
  <si>
    <t>3. Activity supports team members’ growth</t>
  </si>
  <si>
    <t>4. Systematically builds team’s capability</t>
  </si>
  <si>
    <t>5. Aids development outside team</t>
  </si>
  <si>
    <t>6. Builds organizational capability</t>
  </si>
  <si>
    <t>7. Instills culture focused on talent management</t>
  </si>
  <si>
    <t>1. Accepts change</t>
  </si>
  <si>
    <t>2. Supports change</t>
  </si>
  <si>
    <t>3. Points out need for change</t>
  </si>
  <si>
    <t>4. Makes compelling case for change</t>
  </si>
  <si>
    <t>5. Mobilize others to initiate change</t>
  </si>
  <si>
    <t>6. Drives organization momentum for change</t>
  </si>
  <si>
    <t>7. Embeds culture of change</t>
  </si>
  <si>
    <t>1. Knows immediate context</t>
  </si>
  <si>
    <t>2. Knows general marketplace basics</t>
  </si>
  <si>
    <t>3. Investigates market and customer dynamics</t>
  </si>
  <si>
    <t>4. Deeply understand market</t>
  </si>
  <si>
    <t>5. Generates insights about market’s future</t>
  </si>
  <si>
    <t>6. Identifies emerging business opportunities</t>
  </si>
  <si>
    <t>7. Sees how to transform industry</t>
  </si>
  <si>
    <t>1. Accepts different views</t>
  </si>
  <si>
    <t>2. Understands diverse views</t>
  </si>
  <si>
    <t>3. Integrates other points of view</t>
  </si>
  <si>
    <t>4. Functions well across diverse groups</t>
  </si>
  <si>
    <t>5. Facilitates engagement between factions</t>
  </si>
  <si>
    <t>6. Strategically increases employee diversity</t>
  </si>
  <si>
    <t>7. Creates inclusive culture</t>
  </si>
  <si>
    <t>Change Leadership </t>
  </si>
  <si>
    <t>LeadershipScore</t>
  </si>
  <si>
    <t>AverageLOC</t>
  </si>
  <si>
    <t>Results2</t>
  </si>
  <si>
    <t>Strategic3</t>
  </si>
  <si>
    <t>Collaboration and Influence4</t>
  </si>
  <si>
    <t>Team Leadership5</t>
  </si>
  <si>
    <t>Developing Organizational Capabilities6</t>
  </si>
  <si>
    <t>Change Leadership 7</t>
  </si>
  <si>
    <t>Market Understanding8</t>
  </si>
  <si>
    <t>Inclusiveness9</t>
  </si>
  <si>
    <t>Results10</t>
  </si>
  <si>
    <t>Strategic11</t>
  </si>
  <si>
    <t>Collaboration and Influence12</t>
  </si>
  <si>
    <t>Team Leadership13</t>
  </si>
  <si>
    <t>Developing Organizational Capabilities14</t>
  </si>
  <si>
    <t>Change Leadership 15</t>
  </si>
  <si>
    <t>Market Understanding16</t>
  </si>
  <si>
    <t>Inclusiveness17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</si>
</sst>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3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0000"/>
        <bgColor indexed="64"/>
      </patternFill>
    </fill>
  </fills>
  <borders count="9">
    <border>
      <left/>
      <right/>
      <top/>
      <bottom/>
      <diagonal/>
    </border>
    <border>
      <left style="thin">
        <color theme="9"/>
      </left>
      <right/>
      <top style="thin">
        <color theme="9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theme="9"/>
      </left>
      <right style="thin">
        <color theme="9"/>
      </right>
      <top style="thin">
        <color theme="9"/>
      </top>
      <bottom/>
      <diagonal/>
    </border>
    <border>
      <left style="thin">
        <color theme="9"/>
      </left>
      <right style="thin">
        <color theme="9"/>
      </right>
      <top style="thin">
        <color theme="9"/>
      </top>
      <bottom style="thin">
        <color theme="9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36">
    <xf numFmtId="0" fontId="0" fillId="0" borderId="0" xfId="0"/>
    <xf numFmtId="9" fontId="0" fillId="0" borderId="0" xfId="0" applyNumberFormat="1"/>
    <xf numFmtId="0" fontId="1" fillId="0" borderId="0" xfId="0" applyFont="1"/>
    <xf numFmtId="0" fontId="0" fillId="0" borderId="0" xfId="0" applyAlignment="1">
      <alignment vertical="center"/>
    </xf>
    <xf numFmtId="0" fontId="0" fillId="0" borderId="0" xfId="0" applyFill="1" applyAlignment="1">
      <alignment vertical="center"/>
    </xf>
    <xf numFmtId="0" fontId="0" fillId="0" borderId="1" xfId="0" applyFont="1" applyFill="1" applyBorder="1"/>
    <xf numFmtId="0" fontId="0" fillId="0" borderId="6" xfId="0" applyFont="1" applyBorder="1"/>
    <xf numFmtId="0" fontId="0" fillId="0" borderId="7" xfId="0" applyFont="1" applyBorder="1"/>
    <xf numFmtId="0" fontId="0" fillId="0" borderId="0" xfId="0" applyFont="1" applyFill="1" applyBorder="1"/>
    <xf numFmtId="0" fontId="2" fillId="6" borderId="2" xfId="0" applyFont="1" applyFill="1" applyBorder="1"/>
    <xf numFmtId="164" fontId="2" fillId="4" borderId="2" xfId="0" applyNumberFormat="1" applyFont="1" applyFill="1" applyBorder="1"/>
    <xf numFmtId="164" fontId="2" fillId="2" borderId="2" xfId="0" applyNumberFormat="1" applyFont="1" applyFill="1" applyBorder="1"/>
    <xf numFmtId="164" fontId="2" fillId="5" borderId="2" xfId="0" applyNumberFormat="1" applyFont="1" applyFill="1" applyBorder="1"/>
    <xf numFmtId="0" fontId="2" fillId="0" borderId="2" xfId="0" applyFont="1" applyFill="1" applyBorder="1"/>
    <xf numFmtId="164" fontId="2" fillId="3" borderId="2" xfId="0" applyNumberFormat="1" applyFont="1" applyFill="1" applyBorder="1"/>
    <xf numFmtId="2" fontId="2" fillId="0" borderId="2" xfId="0" applyNumberFormat="1" applyFont="1" applyFill="1" applyBorder="1"/>
    <xf numFmtId="0" fontId="2" fillId="0" borderId="8" xfId="0" applyFont="1" applyFill="1" applyBorder="1"/>
    <xf numFmtId="0" fontId="2" fillId="4" borderId="8" xfId="0" applyFont="1" applyFill="1" applyBorder="1"/>
    <xf numFmtId="0" fontId="2" fillId="6" borderId="8" xfId="0" applyFont="1" applyFill="1" applyBorder="1"/>
    <xf numFmtId="0" fontId="2" fillId="2" borderId="8" xfId="0" applyFont="1" applyFill="1" applyBorder="1"/>
    <xf numFmtId="0" fontId="2" fillId="5" borderId="8" xfId="0" applyFont="1" applyFill="1" applyBorder="1"/>
    <xf numFmtId="0" fontId="2" fillId="3" borderId="8" xfId="0" applyFont="1" applyFill="1" applyBorder="1"/>
    <xf numFmtId="0" fontId="2" fillId="7" borderId="8" xfId="0" applyFont="1" applyFill="1" applyBorder="1"/>
    <xf numFmtId="0" fontId="2" fillId="4" borderId="2" xfId="0" applyFont="1" applyFill="1" applyBorder="1" applyAlignment="1">
      <alignment horizontal="center"/>
    </xf>
    <xf numFmtId="0" fontId="2" fillId="6" borderId="4" xfId="0" applyFont="1" applyFill="1" applyBorder="1" applyAlignment="1">
      <alignment horizontal="center"/>
    </xf>
    <xf numFmtId="0" fontId="2" fillId="6" borderId="5" xfId="0" applyFont="1" applyFill="1" applyBorder="1" applyAlignment="1">
      <alignment horizontal="center"/>
    </xf>
    <xf numFmtId="0" fontId="2" fillId="6" borderId="3" xfId="0" applyFont="1" applyFill="1" applyBorder="1" applyAlignment="1">
      <alignment horizontal="center"/>
    </xf>
    <xf numFmtId="0" fontId="2" fillId="2" borderId="4" xfId="0" applyFont="1" applyFill="1" applyBorder="1" applyAlignment="1">
      <alignment horizontal="center"/>
    </xf>
    <xf numFmtId="0" fontId="2" fillId="2" borderId="5" xfId="0" applyFont="1" applyFill="1" applyBorder="1" applyAlignment="1">
      <alignment horizontal="center"/>
    </xf>
    <xf numFmtId="0" fontId="2" fillId="2" borderId="3" xfId="0" applyFont="1" applyFill="1" applyBorder="1" applyAlignment="1">
      <alignment horizontal="center"/>
    </xf>
    <xf numFmtId="0" fontId="2" fillId="5" borderId="4" xfId="0" applyFont="1" applyFill="1" applyBorder="1" applyAlignment="1">
      <alignment horizontal="center"/>
    </xf>
    <xf numFmtId="0" fontId="2" fillId="5" borderId="5" xfId="0" applyFont="1" applyFill="1" applyBorder="1" applyAlignment="1">
      <alignment horizontal="center"/>
    </xf>
    <xf numFmtId="0" fontId="2" fillId="5" borderId="3" xfId="0" applyFont="1" applyFill="1" applyBorder="1" applyAlignment="1">
      <alignment horizontal="center"/>
    </xf>
    <xf numFmtId="0" fontId="2" fillId="7" borderId="2" xfId="0" applyFont="1" applyFill="1" applyBorder="1"/>
    <xf numFmtId="2" fontId="2" fillId="7" borderId="2" xfId="0" applyNumberFormat="1" applyFont="1" applyFill="1" applyBorder="1"/>
    <xf numFmtId="0" fontId="0" fillId="7" borderId="0" xfId="0" applyFill="1"/>
  </cellXfs>
  <cellStyles count="1">
    <cellStyle name="Normal" xfId="0" builtinId="0"/>
  </cellStyles>
  <dxfs count="9">
    <dxf>
      <fill>
        <patternFill>
          <fgColor indexed="64"/>
          <bgColor rgb="FFFF0000"/>
        </patternFill>
      </fill>
    </dxf>
    <dxf>
      <border outline="0">
        <left style="thin">
          <color indexed="64"/>
        </left>
      </border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 style="thin">
          <color theme="9"/>
        </left>
        <right style="thin">
          <color theme="9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 style="thin">
          <color theme="9"/>
        </left>
        <right/>
        <top style="thin">
          <color theme="9"/>
        </top>
        <bottom/>
      </border>
    </dxf>
    <dxf>
      <border outline="0">
        <bottom style="thin">
          <color theme="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FF99CC"/>
      <color rgb="FFFF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08F939C-6096-4E86-9E0D-98C3027C4FDE}" name="Table5" displayName="Table5" ref="A9:A17" totalsRowShown="0" headerRowDxfId="8" dataDxfId="7" tableBorderDxfId="6">
  <autoFilter ref="A9:A17" xr:uid="{EEB0F769-0B4B-4AE5-8208-56B64A381F63}"/>
  <tableColumns count="1">
    <tableColumn id="1" xr3:uid="{A463DEC2-3408-482F-9E26-03524007CF85}" name="Orientations for level of competence" dataDxfId="5"/>
  </tableColumns>
  <tableStyleInfo name="TableStyleLight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B157F647-E24A-48D5-866A-F3BCE766FA89}" name="Table10" displayName="Table10" ref="A19:H26" totalsRowShown="0" headerRowDxfId="4">
  <autoFilter ref="A19:H26" xr:uid="{D2C5237F-6763-4D29-8E72-329F349DDBAF}"/>
  <tableColumns count="8">
    <tableColumn id="1" xr3:uid="{86F26C40-19D2-47B5-B22B-3E49093C565A}" name="Results"/>
    <tableColumn id="2" xr3:uid="{4DFF0907-22A9-4D4F-B876-F854888F58CD}" name="Strategic"/>
    <tableColumn id="3" xr3:uid="{1896DCEC-550E-4E4D-B648-8AA80F7B1E1C}" name="Collaboration and Influence"/>
    <tableColumn id="4" xr3:uid="{ACBC7E2B-BC00-41FD-9AAE-8ED648C93831}" name="Team Leadership"/>
    <tableColumn id="5" xr3:uid="{E693D3A2-37A8-492D-AC5B-D2AF582BE52D}" name="Developing Organizational Capabilities"/>
    <tableColumn id="6" xr3:uid="{CB4597BC-ADF7-47E9-B242-005A183635B5}" name="Change Leadership "/>
    <tableColumn id="7" xr3:uid="{05D6B5B4-00F8-4909-8030-1589B6E5B717}" name="Market Understanding"/>
    <tableColumn id="8" xr3:uid="{75D15ACB-3E99-48E7-964B-C7383154B102}" name="Inclusiveness"/>
  </tableColumns>
  <tableStyleInfo name="TableStyleLight10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4F01C562-C80E-4536-9F46-2A9A223A4415}" name="Table712" displayName="Table712" ref="A2:B7" totalsRowShown="0">
  <autoFilter ref="A2:B7" xr:uid="{8E11EE33-6017-4CD4-892E-67997D1D8FAA}"/>
  <tableColumns count="2">
    <tableColumn id="1" xr3:uid="{80FA7806-1CC3-4464-B565-018C85BB302B}" name="Leadership Predictors"/>
    <tableColumn id="2" xr3:uid="{C45DF776-1A4A-45D3-ABF3-E5B2E5E20607}" name="Weight"/>
  </tableColumns>
  <tableStyleInfo name="TableStyleLight13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282B289-6D0A-4304-B0AC-D424041A395D}" name="Table12" displayName="Table12" ref="A1:F9" totalsRowShown="0">
  <autoFilter ref="A1:F9" xr:uid="{F382CBCF-1D6A-4CA2-BC3B-F264FDA48241}"/>
  <tableColumns count="6">
    <tableColumn id="1" xr3:uid="{BF7D976E-C9A5-4C33-A5B4-4FAC40E7DCDE}" name="Orientation"/>
    <tableColumn id="2" xr3:uid="{4F7A48EA-06E7-404B-88C7-21244DE06774}" name="Motivation"/>
    <tableColumn id="3" xr3:uid="{25388B57-CD40-4B1A-939A-63E358F07126}" name="Curiosity"/>
    <tableColumn id="4" xr3:uid="{BBBC644B-A143-4D74-A278-81B2DA3B1AFB}" name="Insight"/>
    <tableColumn id="5" xr3:uid="{C87EE58E-7DA0-4506-B2FF-6E2F8775C582}" name="Engagement"/>
    <tableColumn id="6" xr3:uid="{B2731F20-433C-4632-8C36-7BEF313D6613}" name="Determination"/>
  </tableColumns>
  <tableStyleInfo name="TableStyleLight14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34C74F0-81AE-4D90-96F1-9E86A842F54E}" name="Table2" displayName="Table2" ref="A2:AG32" totalsRowShown="0" headerRowBorderDxfId="3" tableBorderDxfId="2">
  <autoFilter ref="A2:AG32" xr:uid="{A3CF5DAA-EFE3-474E-A082-2CF4D9272B07}"/>
  <tableColumns count="33">
    <tableColumn id="1" xr3:uid="{AD84DC9A-8C34-46FF-ACF5-3FCABB5676A7}" name="employID"/>
    <tableColumn id="2" xr3:uid="{3DB89F54-4E8F-4172-9649-BB8DE66B9F32}" name="Motivation"/>
    <tableColumn id="3" xr3:uid="{20BCDF7E-78CF-4BDA-9BA8-B851AB107F57}" name="Curiosity"/>
    <tableColumn id="4" xr3:uid="{F9B8E527-769F-4B0D-9149-29797B6C3276}" name="Insight"/>
    <tableColumn id="5" xr3:uid="{B7FC5D93-9692-4997-8DD9-367092531A55}" name="Engagement"/>
    <tableColumn id="6" xr3:uid="{8E7D7348-B877-4AEB-AD93-EB3590DEA510}" name="Determination"/>
    <tableColumn id="7" xr3:uid="{890213E7-4768-4B58-BD44-6982E2F22D02}" name="Results"/>
    <tableColumn id="8" xr3:uid="{647F1DC6-4F5E-4C9D-A27E-27035CF56E05}" name="Strategic"/>
    <tableColumn id="9" xr3:uid="{6E9D666F-F43F-4037-9B12-3B9E96B1A6C0}" name="Collaboration and Influence"/>
    <tableColumn id="10" xr3:uid="{BD2A36B4-39E8-4BEC-935D-583DA5D984E5}" name="Team Leadership"/>
    <tableColumn id="11" xr3:uid="{575FF797-4AAD-42FA-90E5-404386A2741E}" name="Developing Organizational Capabilities"/>
    <tableColumn id="12" xr3:uid="{FF383D69-15C0-4928-92D6-AF590242202E}" name="Change Leadership "/>
    <tableColumn id="13" xr3:uid="{65BC9D0B-C1FD-4CF7-AEBF-03D2060FE44D}" name="Market Understanding"/>
    <tableColumn id="14" xr3:uid="{883D9ABF-3C9D-455D-806C-AD0368E89DA9}" name="Inclusiveness"/>
    <tableColumn id="15" xr3:uid="{EFE573D3-56A3-4DAF-92B2-0912200BB9BE}" name="Results2">
      <calculatedColumnFormula array="1">MMULT(B3:F3,TRANSPOSE(Weight!$B$2:$F$2))</calculatedColumnFormula>
    </tableColumn>
    <tableColumn id="16" xr3:uid="{0FC4D089-8DC3-420B-B17D-5636C5E0C5BE}" name="Strategic3"/>
    <tableColumn id="17" xr3:uid="{EB81ED76-57E2-4818-A177-82408453441D}" name="Collaboration and Influence4"/>
    <tableColumn id="18" xr3:uid="{50E5BDEF-2C6E-4236-AF64-2065BB4242E3}" name="Team Leadership5"/>
    <tableColumn id="19" xr3:uid="{39DBEF45-1B72-437D-A1CB-7070DD14CF1F}" name="Developing Organizational Capabilities6"/>
    <tableColumn id="20" xr3:uid="{2E06D1EA-9750-47CA-86CA-7E5379011B4E}" name="Change Leadership 7"/>
    <tableColumn id="21" xr3:uid="{C9176E94-5219-4311-A273-3667D9B9518E}" name="Market Understanding8"/>
    <tableColumn id="22" xr3:uid="{449F2051-C936-4A10-B016-E556F70716FE}" name="Inclusiveness9"/>
    <tableColumn id="23" xr3:uid="{B0D9A5F0-CA8B-4C9A-BAFC-A2B70662D8FD}" name="Results10" dataDxfId="1"/>
    <tableColumn id="24" xr3:uid="{08E39CD2-8DEF-420E-A5F9-8D9B031E34C1}" name="Strategic11"/>
    <tableColumn id="25" xr3:uid="{57D3C152-F468-4890-9B32-C1A954746786}" name="Collaboration and Influence12"/>
    <tableColumn id="26" xr3:uid="{42FDD353-C454-4A5C-93CE-8E58E93C1608}" name="Team Leadership13"/>
    <tableColumn id="27" xr3:uid="{2A7AC081-403A-4D65-9552-FCDD1774ADDE}" name="Developing Organizational Capabilities14"/>
    <tableColumn id="28" xr3:uid="{B7056B84-B128-4773-9E9C-31D13A626EB2}" name="Change Leadership 15"/>
    <tableColumn id="29" xr3:uid="{4E5B5D91-A565-41A1-8512-570F84B72CE2}" name="Market Understanding16"/>
    <tableColumn id="30" xr3:uid="{B63C931D-FAFE-4BD9-BDF8-E02DB403E98B}" name="Inclusiveness17"/>
    <tableColumn id="31" xr3:uid="{09485E47-6222-47F6-AB9B-8E473F29E344}" name="diff"/>
    <tableColumn id="32" xr3:uid="{84BBCC29-1A89-4646-8606-59CA7128EC09}" name="LeadershipScore" dataDxfId="0"/>
    <tableColumn id="33" xr3:uid="{AC774435-4C37-4136-BC80-760E88D82468}" name="AverageLOC"/>
  </tableColumns>
  <tableStyleInfo name="TableStyleLight6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BFD7AA-2A31-4914-95EB-29DFBD468D69}">
  <sheetPr codeName="Sheet2"/>
  <dimension ref="A1:H26"/>
  <sheetViews>
    <sheetView zoomScaleNormal="100" workbookViewId="0">
      <selection activeCell="E10" sqref="E10"/>
    </sheetView>
  </sheetViews>
  <sheetFormatPr defaultRowHeight="14.5" x14ac:dyDescent="0.35"/>
  <cols>
    <col min="1" max="1" width="29" customWidth="1"/>
    <col min="2" max="2" width="15.26953125" customWidth="1"/>
    <col min="3" max="3" width="20.90625" customWidth="1"/>
    <col min="4" max="4" width="18.54296875" customWidth="1"/>
    <col min="5" max="5" width="38.6328125" customWidth="1"/>
    <col min="6" max="6" width="20.6328125" customWidth="1"/>
    <col min="7" max="7" width="23.1796875" customWidth="1"/>
    <col min="8" max="8" width="34.453125" customWidth="1"/>
    <col min="9" max="9" width="39.453125" bestFit="1" customWidth="1"/>
    <col min="10" max="10" width="34.36328125" bestFit="1" customWidth="1"/>
    <col min="11" max="11" width="16.81640625" bestFit="1" customWidth="1"/>
    <col min="12" max="12" width="37.90625" bestFit="1" customWidth="1"/>
    <col min="13" max="13" width="21.7265625" bestFit="1" customWidth="1"/>
    <col min="14" max="14" width="13.6328125" bestFit="1" customWidth="1"/>
  </cols>
  <sheetData>
    <row r="1" spans="1:4" x14ac:dyDescent="0.35">
      <c r="A1" s="3"/>
    </row>
    <row r="2" spans="1:4" x14ac:dyDescent="0.35">
      <c r="A2" t="s">
        <v>17</v>
      </c>
      <c r="B2" t="s">
        <v>20</v>
      </c>
    </row>
    <row r="3" spans="1:4" x14ac:dyDescent="0.35">
      <c r="A3" t="s">
        <v>1</v>
      </c>
      <c r="B3" s="1">
        <v>0.1</v>
      </c>
    </row>
    <row r="4" spans="1:4" x14ac:dyDescent="0.35">
      <c r="A4" t="s">
        <v>2</v>
      </c>
      <c r="B4" s="1">
        <v>0.15</v>
      </c>
    </row>
    <row r="5" spans="1:4" x14ac:dyDescent="0.35">
      <c r="A5" t="s">
        <v>3</v>
      </c>
      <c r="B5" s="1">
        <v>0.2</v>
      </c>
    </row>
    <row r="6" spans="1:4" x14ac:dyDescent="0.35">
      <c r="A6" t="s">
        <v>4</v>
      </c>
      <c r="B6" s="1">
        <v>0.25</v>
      </c>
    </row>
    <row r="7" spans="1:4" x14ac:dyDescent="0.35">
      <c r="A7" t="s">
        <v>5</v>
      </c>
      <c r="B7" s="1">
        <v>0.3</v>
      </c>
    </row>
    <row r="8" spans="1:4" x14ac:dyDescent="0.35">
      <c r="A8" s="3"/>
    </row>
    <row r="9" spans="1:4" x14ac:dyDescent="0.35">
      <c r="A9" s="4" t="s">
        <v>19</v>
      </c>
    </row>
    <row r="10" spans="1:4" x14ac:dyDescent="0.35">
      <c r="A10" s="5" t="s">
        <v>6</v>
      </c>
    </row>
    <row r="11" spans="1:4" x14ac:dyDescent="0.35">
      <c r="A11" s="5" t="s">
        <v>7</v>
      </c>
    </row>
    <row r="12" spans="1:4" x14ac:dyDescent="0.35">
      <c r="A12" s="5" t="s">
        <v>8</v>
      </c>
    </row>
    <row r="13" spans="1:4" x14ac:dyDescent="0.35">
      <c r="A13" s="5" t="s">
        <v>9</v>
      </c>
    </row>
    <row r="14" spans="1:4" x14ac:dyDescent="0.35">
      <c r="A14" s="5" t="s">
        <v>10</v>
      </c>
    </row>
    <row r="15" spans="1:4" x14ac:dyDescent="0.35">
      <c r="A15" s="5" t="s">
        <v>77</v>
      </c>
      <c r="D15" s="1"/>
    </row>
    <row r="16" spans="1:4" x14ac:dyDescent="0.35">
      <c r="A16" s="5" t="s">
        <v>11</v>
      </c>
    </row>
    <row r="17" spans="1:8" x14ac:dyDescent="0.35">
      <c r="A17" s="5" t="s">
        <v>12</v>
      </c>
    </row>
    <row r="18" spans="1:8" x14ac:dyDescent="0.35">
      <c r="A18" s="8"/>
    </row>
    <row r="19" spans="1:8" x14ac:dyDescent="0.35">
      <c r="A19" s="6" t="s">
        <v>6</v>
      </c>
      <c r="B19" s="6" t="s">
        <v>7</v>
      </c>
      <c r="C19" s="6" t="s">
        <v>8</v>
      </c>
      <c r="D19" s="8" t="s">
        <v>9</v>
      </c>
      <c r="E19" s="6" t="s">
        <v>10</v>
      </c>
      <c r="F19" s="6" t="s">
        <v>77</v>
      </c>
      <c r="G19" s="6" t="s">
        <v>11</v>
      </c>
      <c r="H19" s="7" t="s">
        <v>12</v>
      </c>
    </row>
    <row r="20" spans="1:8" x14ac:dyDescent="0.35">
      <c r="A20" t="s">
        <v>21</v>
      </c>
      <c r="B20" t="s">
        <v>28</v>
      </c>
      <c r="C20" t="s">
        <v>35</v>
      </c>
      <c r="D20" t="s">
        <v>42</v>
      </c>
      <c r="E20" t="s">
        <v>49</v>
      </c>
      <c r="F20" t="s">
        <v>56</v>
      </c>
      <c r="G20" t="s">
        <v>63</v>
      </c>
      <c r="H20" t="s">
        <v>70</v>
      </c>
    </row>
    <row r="21" spans="1:8" x14ac:dyDescent="0.35">
      <c r="A21" t="s">
        <v>22</v>
      </c>
      <c r="B21" t="s">
        <v>29</v>
      </c>
      <c r="C21" t="s">
        <v>36</v>
      </c>
      <c r="D21" t="s">
        <v>43</v>
      </c>
      <c r="E21" t="s">
        <v>50</v>
      </c>
      <c r="F21" t="s">
        <v>57</v>
      </c>
      <c r="G21" t="s">
        <v>64</v>
      </c>
      <c r="H21" t="s">
        <v>71</v>
      </c>
    </row>
    <row r="22" spans="1:8" x14ac:dyDescent="0.35">
      <c r="A22" t="s">
        <v>23</v>
      </c>
      <c r="B22" t="s">
        <v>30</v>
      </c>
      <c r="C22" t="s">
        <v>37</v>
      </c>
      <c r="D22" t="s">
        <v>44</v>
      </c>
      <c r="E22" t="s">
        <v>51</v>
      </c>
      <c r="F22" t="s">
        <v>58</v>
      </c>
      <c r="G22" t="s">
        <v>65</v>
      </c>
      <c r="H22" t="s">
        <v>72</v>
      </c>
    </row>
    <row r="23" spans="1:8" x14ac:dyDescent="0.35">
      <c r="A23" t="s">
        <v>24</v>
      </c>
      <c r="B23" t="s">
        <v>31</v>
      </c>
      <c r="C23" t="s">
        <v>38</v>
      </c>
      <c r="D23" t="s">
        <v>45</v>
      </c>
      <c r="E23" t="s">
        <v>52</v>
      </c>
      <c r="F23" t="s">
        <v>59</v>
      </c>
      <c r="G23" t="s">
        <v>66</v>
      </c>
      <c r="H23" t="s">
        <v>73</v>
      </c>
    </row>
    <row r="24" spans="1:8" x14ac:dyDescent="0.35">
      <c r="A24" t="s">
        <v>25</v>
      </c>
      <c r="B24" t="s">
        <v>32</v>
      </c>
      <c r="C24" t="s">
        <v>39</v>
      </c>
      <c r="D24" t="s">
        <v>46</v>
      </c>
      <c r="E24" t="s">
        <v>53</v>
      </c>
      <c r="F24" t="s">
        <v>60</v>
      </c>
      <c r="G24" t="s">
        <v>67</v>
      </c>
      <c r="H24" t="s">
        <v>74</v>
      </c>
    </row>
    <row r="25" spans="1:8" x14ac:dyDescent="0.35">
      <c r="A25" t="s">
        <v>26</v>
      </c>
      <c r="B25" t="s">
        <v>33</v>
      </c>
      <c r="C25" t="s">
        <v>40</v>
      </c>
      <c r="D25" t="s">
        <v>47</v>
      </c>
      <c r="E25" t="s">
        <v>54</v>
      </c>
      <c r="F25" t="s">
        <v>61</v>
      </c>
      <c r="G25" t="s">
        <v>68</v>
      </c>
      <c r="H25" t="s">
        <v>75</v>
      </c>
    </row>
    <row r="26" spans="1:8" x14ac:dyDescent="0.35">
      <c r="A26" t="s">
        <v>27</v>
      </c>
      <c r="B26" t="s">
        <v>34</v>
      </c>
      <c r="C26" t="s">
        <v>41</v>
      </c>
      <c r="D26" t="s">
        <v>48</v>
      </c>
      <c r="E26" t="s">
        <v>55</v>
      </c>
      <c r="F26" t="s">
        <v>62</v>
      </c>
      <c r="G26" t="s">
        <v>69</v>
      </c>
      <c r="H26" t="s">
        <v>76</v>
      </c>
    </row>
  </sheetData>
  <pageMargins left="0.7" right="0.7" top="0.75" bottom="0.75" header="0.3" footer="0.3"/>
  <tableParts count="3">
    <tablePart r:id="rId1"/>
    <tablePart r:id="rId2"/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CC7CE6-8140-410E-A3D2-707BCB74942B}">
  <sheetPr codeName="Sheet1"/>
  <dimension ref="A1:F9"/>
  <sheetViews>
    <sheetView workbookViewId="0">
      <selection activeCell="G12" sqref="G12"/>
    </sheetView>
  </sheetViews>
  <sheetFormatPr defaultRowHeight="14.5" x14ac:dyDescent="0.35"/>
  <cols>
    <col min="1" max="1" width="33.08984375" bestFit="1" customWidth="1"/>
    <col min="2" max="2" width="12.36328125" bestFit="1" customWidth="1"/>
    <col min="3" max="3" width="10.453125" bestFit="1" customWidth="1"/>
    <col min="4" max="4" width="10.453125" customWidth="1"/>
    <col min="5" max="5" width="12.81640625" customWidth="1"/>
    <col min="6" max="6" width="17.1796875" customWidth="1"/>
    <col min="7" max="7" width="19.7265625" bestFit="1" customWidth="1"/>
    <col min="8" max="8" width="11.7265625" bestFit="1" customWidth="1"/>
  </cols>
  <sheetData>
    <row r="1" spans="1:6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 x14ac:dyDescent="0.35">
      <c r="A2" t="s">
        <v>6</v>
      </c>
      <c r="B2" s="1">
        <v>0.4</v>
      </c>
      <c r="C2" s="1">
        <v>0.2</v>
      </c>
      <c r="D2">
        <v>0</v>
      </c>
      <c r="E2">
        <v>0</v>
      </c>
      <c r="F2" s="1">
        <v>0.4</v>
      </c>
    </row>
    <row r="3" spans="1:6" x14ac:dyDescent="0.35">
      <c r="A3" t="s">
        <v>7</v>
      </c>
      <c r="B3">
        <v>0</v>
      </c>
      <c r="C3" s="1">
        <v>0.2</v>
      </c>
      <c r="D3" s="1">
        <v>0.8</v>
      </c>
      <c r="E3">
        <v>0</v>
      </c>
      <c r="F3">
        <v>0</v>
      </c>
    </row>
    <row r="4" spans="1:6" x14ac:dyDescent="0.35">
      <c r="A4" t="s">
        <v>8</v>
      </c>
      <c r="B4">
        <v>0</v>
      </c>
      <c r="C4" s="1">
        <v>0.1</v>
      </c>
      <c r="D4">
        <v>0</v>
      </c>
      <c r="E4" s="1">
        <v>0.6</v>
      </c>
      <c r="F4" s="1">
        <v>0.3</v>
      </c>
    </row>
    <row r="5" spans="1:6" x14ac:dyDescent="0.35">
      <c r="A5" t="s">
        <v>9</v>
      </c>
      <c r="B5">
        <v>0</v>
      </c>
      <c r="C5" s="1">
        <v>0.2</v>
      </c>
      <c r="D5">
        <v>0</v>
      </c>
      <c r="E5" s="1">
        <v>0.2</v>
      </c>
      <c r="F5" s="1">
        <v>0.6</v>
      </c>
    </row>
    <row r="6" spans="1:6" x14ac:dyDescent="0.35">
      <c r="A6" t="s">
        <v>10</v>
      </c>
      <c r="B6">
        <v>0</v>
      </c>
      <c r="C6" s="1">
        <v>0.1</v>
      </c>
      <c r="D6" s="1">
        <v>0.3</v>
      </c>
      <c r="E6" s="1">
        <v>0.6</v>
      </c>
      <c r="F6">
        <v>0</v>
      </c>
    </row>
    <row r="7" spans="1:6" x14ac:dyDescent="0.35">
      <c r="A7" s="5" t="s">
        <v>77</v>
      </c>
      <c r="B7">
        <v>0</v>
      </c>
      <c r="C7" s="1">
        <v>0.2</v>
      </c>
      <c r="D7" s="1">
        <v>0.3</v>
      </c>
      <c r="E7" s="1">
        <v>0.2</v>
      </c>
      <c r="F7" s="1">
        <v>0.3</v>
      </c>
    </row>
    <row r="8" spans="1:6" x14ac:dyDescent="0.35">
      <c r="A8" t="s">
        <v>11</v>
      </c>
      <c r="B8">
        <v>0</v>
      </c>
      <c r="C8" s="1">
        <v>0.2</v>
      </c>
      <c r="D8" s="1">
        <v>0.8</v>
      </c>
      <c r="E8">
        <v>0</v>
      </c>
      <c r="F8">
        <v>0</v>
      </c>
    </row>
    <row r="9" spans="1:6" x14ac:dyDescent="0.35">
      <c r="A9" t="s">
        <v>12</v>
      </c>
      <c r="B9">
        <v>0</v>
      </c>
      <c r="C9" s="1">
        <v>0.2</v>
      </c>
      <c r="D9" s="1">
        <v>0.2</v>
      </c>
      <c r="E9" s="1">
        <v>0.6</v>
      </c>
      <c r="F9">
        <v>0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82DF6C-A172-4ACD-841E-D2F5FE42B8D4}">
  <sheetPr codeName="Sheet3"/>
  <dimension ref="A1:AG310"/>
  <sheetViews>
    <sheetView tabSelected="1" topLeftCell="J1" zoomScaleNormal="100" workbookViewId="0">
      <selection activeCell="AI11" sqref="AI11"/>
    </sheetView>
  </sheetViews>
  <sheetFormatPr defaultColWidth="8.6328125" defaultRowHeight="14.5" x14ac:dyDescent="0.35"/>
  <cols>
    <col min="32" max="32" width="8.6328125" style="35"/>
  </cols>
  <sheetData>
    <row r="1" spans="1:33" x14ac:dyDescent="0.35">
      <c r="A1" s="13"/>
      <c r="B1" s="23" t="s">
        <v>17</v>
      </c>
      <c r="C1" s="23"/>
      <c r="D1" s="23"/>
      <c r="E1" s="23"/>
      <c r="F1" s="23"/>
      <c r="G1" s="24" t="s">
        <v>18</v>
      </c>
      <c r="H1" s="25"/>
      <c r="I1" s="25"/>
      <c r="J1" s="25"/>
      <c r="K1" s="25"/>
      <c r="L1" s="25"/>
      <c r="M1" s="25"/>
      <c r="N1" s="26"/>
      <c r="O1" s="27" t="s">
        <v>14</v>
      </c>
      <c r="P1" s="28"/>
      <c r="Q1" s="28"/>
      <c r="R1" s="28"/>
      <c r="S1" s="28"/>
      <c r="T1" s="28"/>
      <c r="U1" s="28"/>
      <c r="V1" s="29"/>
      <c r="W1" s="30" t="s">
        <v>15</v>
      </c>
      <c r="X1" s="31"/>
      <c r="Y1" s="31"/>
      <c r="Z1" s="31"/>
      <c r="AA1" s="31"/>
      <c r="AB1" s="31"/>
      <c r="AC1" s="31"/>
      <c r="AD1" s="32"/>
      <c r="AE1" s="14"/>
      <c r="AF1" s="33"/>
      <c r="AG1" s="13"/>
    </row>
    <row r="2" spans="1:33" x14ac:dyDescent="0.35">
      <c r="A2" s="16" t="s">
        <v>13</v>
      </c>
      <c r="B2" s="17" t="s">
        <v>1</v>
      </c>
      <c r="C2" s="17" t="s">
        <v>2</v>
      </c>
      <c r="D2" s="17" t="s">
        <v>3</v>
      </c>
      <c r="E2" s="17" t="s">
        <v>4</v>
      </c>
      <c r="F2" s="17" t="s">
        <v>5</v>
      </c>
      <c r="G2" s="18" t="s">
        <v>6</v>
      </c>
      <c r="H2" s="18" t="s">
        <v>7</v>
      </c>
      <c r="I2" s="18" t="s">
        <v>8</v>
      </c>
      <c r="J2" s="18" t="s">
        <v>9</v>
      </c>
      <c r="K2" s="18" t="s">
        <v>10</v>
      </c>
      <c r="L2" s="18" t="s">
        <v>77</v>
      </c>
      <c r="M2" s="18" t="s">
        <v>11</v>
      </c>
      <c r="N2" s="18" t="s">
        <v>12</v>
      </c>
      <c r="O2" s="19" t="s">
        <v>80</v>
      </c>
      <c r="P2" s="19" t="s">
        <v>81</v>
      </c>
      <c r="Q2" s="19" t="s">
        <v>82</v>
      </c>
      <c r="R2" s="19" t="s">
        <v>83</v>
      </c>
      <c r="S2" s="19" t="s">
        <v>84</v>
      </c>
      <c r="T2" s="19" t="s">
        <v>85</v>
      </c>
      <c r="U2" s="19" t="s">
        <v>86</v>
      </c>
      <c r="V2" s="19" t="s">
        <v>87</v>
      </c>
      <c r="W2" s="20" t="s">
        <v>88</v>
      </c>
      <c r="X2" s="20" t="s">
        <v>89</v>
      </c>
      <c r="Y2" s="20" t="s">
        <v>90</v>
      </c>
      <c r="Z2" s="20" t="s">
        <v>91</v>
      </c>
      <c r="AA2" s="20" t="s">
        <v>92</v>
      </c>
      <c r="AB2" s="20" t="s">
        <v>93</v>
      </c>
      <c r="AC2" s="20" t="s">
        <v>94</v>
      </c>
      <c r="AD2" s="20" t="s">
        <v>95</v>
      </c>
      <c r="AE2" s="21" t="s">
        <v>16</v>
      </c>
      <c r="AF2" s="22" t="s">
        <v>78</v>
      </c>
      <c r="AG2" s="16" t="s">
        <v>79</v>
      </c>
    </row>
    <row r="3" spans="1:33" s="2" customFormat="1" x14ac:dyDescent="0.35">
      <c r="A3" s="13">
        <v>1</v>
      </c>
      <c r="B3" s="10">
        <v>5.4999998317119729</v>
      </c>
      <c r="C3" s="10">
        <v>3.0000000060120113</v>
      </c>
      <c r="D3" s="10">
        <v>3.0000000060119878</v>
      </c>
      <c r="E3" s="10">
        <v>2.9999999959920038</v>
      </c>
      <c r="F3" s="10">
        <v>3.0000001561908411</v>
      </c>
      <c r="G3" s="9">
        <v>4</v>
      </c>
      <c r="H3" s="9">
        <v>3</v>
      </c>
      <c r="I3" s="9">
        <v>3</v>
      </c>
      <c r="J3" s="9">
        <v>3</v>
      </c>
      <c r="K3" s="9">
        <v>3</v>
      </c>
      <c r="L3" s="9">
        <v>3</v>
      </c>
      <c r="M3" s="9">
        <v>3</v>
      </c>
      <c r="N3" s="9">
        <v>3</v>
      </c>
      <c r="O3" s="11">
        <f t="array" ref="O3">MMULT(B3:F3,TRANSPOSE(Weight!$B$2:$F$2))</f>
        <v>3.9999999963635284</v>
      </c>
      <c r="P3" s="11">
        <f t="array" ref="P3">MMULT(B3:F3,TRANSPOSE(Weight!$B$3:$F$3))</f>
        <v>3.0000000060119927</v>
      </c>
      <c r="Q3" s="11">
        <f t="array" ref="Q3">MMULT(B3:F3,TRANSPOSE(Weight!$B$4:$F$4))</f>
        <v>3.0000000450536555</v>
      </c>
      <c r="R3" s="11">
        <f t="array" ref="R3">MMULT(B3:F3,TRANSPOSE(Weight!$B$5:$F$5))</f>
        <v>3.0000000941153075</v>
      </c>
      <c r="S3" s="11">
        <f t="array" ref="S3">MMULT(B3:F3,TRANSPOSE(Weight!$B$6:$F$6))</f>
        <v>2.9999999999999996</v>
      </c>
      <c r="T3" s="11">
        <f t="array" ref="T3">MMULT(B3:F3,TRANSPOSE(Weight!$B$7:$F$7))</f>
        <v>3.0000000490616516</v>
      </c>
      <c r="U3" s="11">
        <f t="array" ref="U3">MMULT(B3:F3,TRANSPOSE(Weight!$B$8:$F$8))</f>
        <v>3.0000000060119927</v>
      </c>
      <c r="V3" s="11">
        <f t="array" ref="V3">MMULT(B3:F3,TRANSPOSE(Weight!$B$9:$F$9))</f>
        <v>3.0000000000000018</v>
      </c>
      <c r="W3" s="12">
        <f t="shared" ref="W3" si="0">O3-G3</f>
        <v>-3.6364715683134818E-9</v>
      </c>
      <c r="X3" s="12">
        <f t="shared" ref="X3" si="1">P3-H3</f>
        <v>6.0119926814650171E-9</v>
      </c>
      <c r="Y3" s="12">
        <f t="shared" ref="Y3" si="2">Q3-I3</f>
        <v>4.5053655473026311E-8</v>
      </c>
      <c r="Z3" s="12">
        <f t="shared" ref="Z3" si="3">R3-J3</f>
        <v>9.4115307547326665E-8</v>
      </c>
      <c r="AA3" s="12">
        <f t="shared" ref="AA3" si="4">S3-K3</f>
        <v>0</v>
      </c>
      <c r="AB3" s="12">
        <f t="shared" ref="AB3" si="5">T3-L3</f>
        <v>4.9061651630211145E-8</v>
      </c>
      <c r="AC3" s="12">
        <f t="shared" ref="AC3" si="6">U3-M3</f>
        <v>6.0119926814650171E-9</v>
      </c>
      <c r="AD3" s="12">
        <f t="shared" ref="AD3" si="7">V3-N3</f>
        <v>0</v>
      </c>
      <c r="AE3" s="14">
        <f>SQRT(SUMSQ(W3:AD3))</f>
        <v>1.1567229869059128E-7</v>
      </c>
      <c r="AF3" s="34">
        <f>0.1*B3+0.15*C3+0.2*D3+0.25*E3+0.3*F3</f>
        <v>3.2500000311306501</v>
      </c>
      <c r="AG3" s="15">
        <f>AVERAGE(G3:N3)</f>
        <v>3.125</v>
      </c>
    </row>
    <row r="4" spans="1:33" x14ac:dyDescent="0.35">
      <c r="A4" s="13">
        <v>2</v>
      </c>
      <c r="B4" s="10">
        <v>3.2777777368828835</v>
      </c>
      <c r="C4" s="10">
        <v>1.3333333345215321</v>
      </c>
      <c r="D4" s="10">
        <v>4.6666666663696166</v>
      </c>
      <c r="E4" s="10">
        <v>2.9999999981559462</v>
      </c>
      <c r="F4" s="10">
        <v>3.555555593659292</v>
      </c>
      <c r="G4" s="9">
        <v>3</v>
      </c>
      <c r="H4" s="9">
        <v>4</v>
      </c>
      <c r="I4" s="9">
        <v>3</v>
      </c>
      <c r="J4" s="9">
        <v>3</v>
      </c>
      <c r="K4" s="9">
        <v>3</v>
      </c>
      <c r="L4" s="9">
        <v>3</v>
      </c>
      <c r="M4" s="9">
        <v>3</v>
      </c>
      <c r="N4" s="9">
        <v>3</v>
      </c>
      <c r="O4" s="11">
        <f t="array" ref="O4">MMULT(B4:F4,TRANSPOSE(Weight!$B$2:$F$2))</f>
        <v>2.9999999991211768</v>
      </c>
      <c r="P4" s="11">
        <f t="array" ref="P4">MMULT(B4:F4,TRANSPOSE(Weight!$B$3:$F$3))</f>
        <v>3.9999999999999996</v>
      </c>
      <c r="Q4" s="11">
        <f t="array" ref="Q4">MMULT(B4:F4,TRANSPOSE(Weight!$B$4:$F$4))</f>
        <v>3.0000000104435083</v>
      </c>
      <c r="R4" s="11">
        <f t="array" ref="R4">MMULT(B4:F4,TRANSPOSE(Weight!$B$5:$F$5))</f>
        <v>3.0000000227310712</v>
      </c>
      <c r="S4" s="11">
        <f t="array" ref="S4">MMULT(B4:F4,TRANSPOSE(Weight!$B$6:$F$6))</f>
        <v>3.3333333322566059</v>
      </c>
      <c r="T4" s="11">
        <f t="array" ref="T4">MMULT(B4:F4,TRANSPOSE(Weight!$B$7:$F$7))</f>
        <v>3.333333344544168</v>
      </c>
      <c r="U4" s="11">
        <f t="array" ref="U4">MMULT(B4:F4,TRANSPOSE(Weight!$B$8:$F$8))</f>
        <v>3.9999999999999996</v>
      </c>
      <c r="V4" s="11">
        <f t="array" ref="V4">MMULT(B4:F4,TRANSPOSE(Weight!$B$9:$F$9))</f>
        <v>2.9999999990717976</v>
      </c>
      <c r="W4" s="12">
        <f t="shared" ref="W4:W18" si="8">O4-G4</f>
        <v>-8.7882323640542381E-10</v>
      </c>
      <c r="X4" s="12">
        <f t="shared" ref="X4:X18" si="9">P4-H4</f>
        <v>0</v>
      </c>
      <c r="Y4" s="12">
        <f t="shared" ref="Y4:Y18" si="10">Q4-I4</f>
        <v>1.0443508280388869E-8</v>
      </c>
      <c r="Z4" s="12">
        <f t="shared" ref="Z4:Z18" si="11">R4-J4</f>
        <v>2.2731071247505952E-8</v>
      </c>
      <c r="AA4" s="12">
        <f t="shared" ref="AA4:AA18" si="12">S4-K4</f>
        <v>0.33333333225660589</v>
      </c>
      <c r="AB4" s="12">
        <f t="shared" ref="AB4:AB18" si="13">T4-L4</f>
        <v>0.33333334454416796</v>
      </c>
      <c r="AC4" s="12">
        <f t="shared" ref="AC4:AC18" si="14">U4-M4</f>
        <v>0.99999999999999956</v>
      </c>
      <c r="AD4" s="12">
        <f t="shared" ref="AD4:AD18" si="15">V4-N4</f>
        <v>-9.2820240382707198E-10</v>
      </c>
      <c r="AE4" s="14">
        <f t="shared" ref="AE4:AE18" si="16">SQRT(SUMSQ(W4:AD4))</f>
        <v>1.1055415998406815</v>
      </c>
      <c r="AF4" s="34">
        <f t="shared" ref="AF4:AF17" si="17">0.1*B4+0.15*C4+0.2*D4+0.25*E4+0.3*F4</f>
        <v>3.2777777847772152</v>
      </c>
      <c r="AG4" s="15">
        <f t="shared" ref="AG4:AG18" si="18">AVERAGE(G4:N4)</f>
        <v>3.125</v>
      </c>
    </row>
    <row r="5" spans="1:33" x14ac:dyDescent="0.35">
      <c r="A5" s="13">
        <v>3</v>
      </c>
      <c r="B5" s="10">
        <v>2.7553199520562695</v>
      </c>
      <c r="C5" s="10">
        <v>1</v>
      </c>
      <c r="D5" s="10">
        <v>3.5000007489326106</v>
      </c>
      <c r="E5" s="10">
        <v>4.3776597261956338</v>
      </c>
      <c r="F5" s="10">
        <v>4.2446815461966274</v>
      </c>
      <c r="G5" s="9">
        <v>3</v>
      </c>
      <c r="H5" s="9">
        <v>3</v>
      </c>
      <c r="I5" s="9">
        <v>4</v>
      </c>
      <c r="J5" s="9">
        <v>3</v>
      </c>
      <c r="K5" s="9">
        <v>3</v>
      </c>
      <c r="L5" s="9">
        <v>3</v>
      </c>
      <c r="M5" s="9">
        <v>3</v>
      </c>
      <c r="N5" s="9">
        <v>3</v>
      </c>
      <c r="O5" s="11">
        <f t="array" ref="O5">MMULT(B5:F5,TRANSPOSE(Weight!$B$2:$F$2))</f>
        <v>3.0000005993011589</v>
      </c>
      <c r="P5" s="11">
        <f t="array" ref="P5">MMULT(B5:F5,TRANSPOSE(Weight!$B$3:$F$3))</f>
        <v>3.0000005991460887</v>
      </c>
      <c r="Q5" s="11">
        <f t="array" ref="Q5">MMULT(B5:F5,TRANSPOSE(Weight!$B$4:$F$4))</f>
        <v>4.0000002995763682</v>
      </c>
      <c r="R5" s="11">
        <f t="array" ref="R5">MMULT(B5:F5,TRANSPOSE(Weight!$B$5:$F$5))</f>
        <v>3.6223408729571029</v>
      </c>
      <c r="S5" s="11">
        <f t="array" ref="S5">MMULT(B5:F5,TRANSPOSE(Weight!$B$6:$F$6))</f>
        <v>3.7765960603971633</v>
      </c>
      <c r="T5" s="11">
        <f t="array" ref="T5">MMULT(B5:F5,TRANSPOSE(Weight!$B$7:$F$7))</f>
        <v>3.3989366337778977</v>
      </c>
      <c r="U5" s="11">
        <f t="array" ref="U5">MMULT(B5:F5,TRANSPOSE(Weight!$B$8:$F$8))</f>
        <v>3.0000005991460887</v>
      </c>
      <c r="V5" s="11">
        <f t="array" ref="V5">MMULT(B5:F5,TRANSPOSE(Weight!$B$9:$F$9))</f>
        <v>3.5265959855039024</v>
      </c>
      <c r="W5" s="12">
        <f t="shared" si="8"/>
        <v>5.9930115892115055E-7</v>
      </c>
      <c r="X5" s="12">
        <f t="shared" si="9"/>
        <v>5.9914608874223063E-7</v>
      </c>
      <c r="Y5" s="12">
        <f t="shared" si="10"/>
        <v>2.9957636815680644E-7</v>
      </c>
      <c r="Z5" s="12">
        <f t="shared" si="11"/>
        <v>0.62234087295710294</v>
      </c>
      <c r="AA5" s="12">
        <f t="shared" si="12"/>
        <v>0.77659606039716333</v>
      </c>
      <c r="AB5" s="12">
        <f t="shared" si="13"/>
        <v>0.39893663377789768</v>
      </c>
      <c r="AC5" s="12">
        <f t="shared" si="14"/>
        <v>5.9914608874223063E-7</v>
      </c>
      <c r="AD5" s="12">
        <f t="shared" si="15"/>
        <v>0.52659598550390241</v>
      </c>
      <c r="AE5" s="14">
        <f t="shared" si="16"/>
        <v>1.1945138646735907</v>
      </c>
      <c r="AF5" s="34">
        <f t="shared" si="17"/>
        <v>3.4933515404000453</v>
      </c>
      <c r="AG5" s="15">
        <f t="shared" si="18"/>
        <v>3.125</v>
      </c>
    </row>
    <row r="6" spans="1:33" x14ac:dyDescent="0.35">
      <c r="A6" s="13">
        <v>4</v>
      </c>
      <c r="B6" s="10">
        <v>1.3333332440074923</v>
      </c>
      <c r="C6" s="10">
        <v>3.0000005060605068</v>
      </c>
      <c r="D6" s="10">
        <v>2.9999998738097893</v>
      </c>
      <c r="E6" s="10">
        <v>2.9999999773593773</v>
      </c>
      <c r="F6" s="10">
        <v>4.6666665055266954</v>
      </c>
      <c r="G6" s="9">
        <v>3</v>
      </c>
      <c r="H6" s="9">
        <v>3</v>
      </c>
      <c r="I6" s="9">
        <v>3</v>
      </c>
      <c r="J6" s="9">
        <v>4</v>
      </c>
      <c r="K6" s="9">
        <v>3</v>
      </c>
      <c r="L6" s="9">
        <v>3</v>
      </c>
      <c r="M6" s="9">
        <v>3</v>
      </c>
      <c r="N6" s="9">
        <v>3</v>
      </c>
      <c r="O6" s="11">
        <f t="array" ref="O6">MMULT(B6:F6,TRANSPOSE(Weight!$B$2:$F$2))</f>
        <v>3.0000000010257768</v>
      </c>
      <c r="P6" s="11">
        <f t="array" ref="P6">MMULT(B6:F6,TRANSPOSE(Weight!$B$3:$F$3))</f>
        <v>3.000000000259933</v>
      </c>
      <c r="Q6" s="11">
        <f t="array" ref="Q6">MMULT(B6:F6,TRANSPOSE(Weight!$B$4:$F$4))</f>
        <v>3.4999999886796855</v>
      </c>
      <c r="R6" s="11">
        <f t="array" ref="R6">MMULT(B6:F6,TRANSPOSE(Weight!$B$5:$F$5))</f>
        <v>3.9999999999999942</v>
      </c>
      <c r="S6" s="11">
        <f t="array" ref="S6">MMULT(B6:F6,TRANSPOSE(Weight!$B$6:$F$6))</f>
        <v>2.9999999991646136</v>
      </c>
      <c r="T6" s="11">
        <f t="array" ref="T6">MMULT(B6:F6,TRANSPOSE(Weight!$B$7:$F$7))</f>
        <v>3.5000000104849223</v>
      </c>
      <c r="U6" s="11">
        <f t="array" ref="U6">MMULT(B6:F6,TRANSPOSE(Weight!$B$8:$F$8))</f>
        <v>3.000000000259933</v>
      </c>
      <c r="V6" s="11">
        <f t="array" ref="V6">MMULT(B6:F6,TRANSPOSE(Weight!$B$9:$F$9))</f>
        <v>3.0000000623896854</v>
      </c>
      <c r="W6" s="12">
        <f t="shared" si="8"/>
        <v>1.025776796836908E-9</v>
      </c>
      <c r="X6" s="12">
        <f t="shared" si="9"/>
        <v>2.599329640418091E-10</v>
      </c>
      <c r="Y6" s="12">
        <f t="shared" si="10"/>
        <v>0.49999998867968554</v>
      </c>
      <c r="Z6" s="12">
        <f t="shared" si="11"/>
        <v>-5.773159728050814E-15</v>
      </c>
      <c r="AA6" s="12">
        <f t="shared" si="12"/>
        <v>-8.3538642670077934E-10</v>
      </c>
      <c r="AB6" s="12">
        <f t="shared" si="13"/>
        <v>0.50000001048492226</v>
      </c>
      <c r="AC6" s="12">
        <f t="shared" si="14"/>
        <v>2.599329640418091E-10</v>
      </c>
      <c r="AD6" s="12">
        <f t="shared" si="15"/>
        <v>6.2389685417940655E-8</v>
      </c>
      <c r="AE6" s="14">
        <f t="shared" si="16"/>
        <v>0.70710678059583898</v>
      </c>
      <c r="AF6" s="34">
        <f t="shared" si="17"/>
        <v>3.3333333210696363</v>
      </c>
      <c r="AG6" s="15">
        <f t="shared" si="18"/>
        <v>3.125</v>
      </c>
    </row>
    <row r="7" spans="1:33" x14ac:dyDescent="0.35">
      <c r="A7" s="13">
        <v>5</v>
      </c>
      <c r="B7" s="10">
        <v>3.885748470087425</v>
      </c>
      <c r="C7" s="10">
        <v>1</v>
      </c>
      <c r="D7" s="10">
        <v>3.6855131106598167</v>
      </c>
      <c r="E7" s="10">
        <v>4.6572439446553817</v>
      </c>
      <c r="F7" s="10">
        <v>3.1142530264261237</v>
      </c>
      <c r="G7" s="9">
        <v>3</v>
      </c>
      <c r="H7" s="9">
        <v>3</v>
      </c>
      <c r="I7" s="9">
        <v>3</v>
      </c>
      <c r="J7" s="9">
        <v>3</v>
      </c>
      <c r="K7" s="9">
        <v>4</v>
      </c>
      <c r="L7" s="9">
        <v>3</v>
      </c>
      <c r="M7" s="9">
        <v>3</v>
      </c>
      <c r="N7" s="9">
        <v>3</v>
      </c>
      <c r="O7" s="11">
        <f t="array" ref="O7">MMULT(B7:F7,TRANSPOSE(Weight!$B$2:$F$2))</f>
        <v>3.0000005986054195</v>
      </c>
      <c r="P7" s="11">
        <f t="array" ref="P7">MMULT(B7:F7,TRANSPOSE(Weight!$B$3:$F$3))</f>
        <v>3.1484104885278539</v>
      </c>
      <c r="Q7" s="11">
        <f t="array" ref="Q7">MMULT(B7:F7,TRANSPOSE(Weight!$B$4:$F$4))</f>
        <v>3.8286222747210665</v>
      </c>
      <c r="R7" s="11">
        <f t="array" ref="R7">MMULT(B7:F7,TRANSPOSE(Weight!$B$5:$F$5))</f>
        <v>3.0000006047867505</v>
      </c>
      <c r="S7" s="11">
        <f t="array" ref="S7">MMULT(B7:F7,TRANSPOSE(Weight!$B$6:$F$6))</f>
        <v>4.0000002999911741</v>
      </c>
      <c r="T7" s="11">
        <f t="array" ref="T7">MMULT(B7:F7,TRANSPOSE(Weight!$B$7:$F$7))</f>
        <v>3.1713786300568581</v>
      </c>
      <c r="U7" s="11">
        <f t="array" ref="U7">MMULT(B7:F7,TRANSPOSE(Weight!$B$8:$F$8))</f>
        <v>3.1484104885278539</v>
      </c>
      <c r="V7" s="11">
        <f t="array" ref="V7">MMULT(B7:F7,TRANSPOSE(Weight!$B$9:$F$9))</f>
        <v>3.7314489889251927</v>
      </c>
      <c r="W7" s="12">
        <f t="shared" si="8"/>
        <v>5.9860541945511159E-7</v>
      </c>
      <c r="X7" s="12">
        <f t="shared" si="9"/>
        <v>0.14841048852785388</v>
      </c>
      <c r="Y7" s="12">
        <f t="shared" si="10"/>
        <v>0.82862227472106653</v>
      </c>
      <c r="Z7" s="12">
        <f t="shared" si="11"/>
        <v>6.0478675045771979E-7</v>
      </c>
      <c r="AA7" s="12">
        <f t="shared" si="12"/>
        <v>2.9999117412415899E-7</v>
      </c>
      <c r="AB7" s="12">
        <f t="shared" si="13"/>
        <v>0.17137863005685805</v>
      </c>
      <c r="AC7" s="12">
        <f t="shared" si="14"/>
        <v>0.14841048852785388</v>
      </c>
      <c r="AD7" s="12">
        <f t="shared" si="15"/>
        <v>0.73144898892519272</v>
      </c>
      <c r="AE7" s="14">
        <f t="shared" si="16"/>
        <v>1.1380046039514662</v>
      </c>
      <c r="AF7" s="34">
        <f t="shared" si="17"/>
        <v>3.3742643632323883</v>
      </c>
      <c r="AG7" s="15">
        <f t="shared" si="18"/>
        <v>3.125</v>
      </c>
    </row>
    <row r="8" spans="1:33" x14ac:dyDescent="0.35">
      <c r="A8" s="13">
        <v>6</v>
      </c>
      <c r="B8" s="10">
        <v>1</v>
      </c>
      <c r="C8" s="10">
        <v>7</v>
      </c>
      <c r="D8" s="10">
        <v>2.8451741197557867</v>
      </c>
      <c r="E8" s="10">
        <v>2.4107462721599275</v>
      </c>
      <c r="F8" s="10">
        <v>4.2143283440177282</v>
      </c>
      <c r="G8" s="9">
        <v>3</v>
      </c>
      <c r="H8" s="9">
        <v>3</v>
      </c>
      <c r="I8" s="9">
        <v>3</v>
      </c>
      <c r="J8" s="9">
        <v>3</v>
      </c>
      <c r="K8" s="9">
        <v>3</v>
      </c>
      <c r="L8" s="9">
        <v>4</v>
      </c>
      <c r="M8" s="9">
        <v>3</v>
      </c>
      <c r="N8" s="9">
        <v>3</v>
      </c>
      <c r="O8" s="11">
        <f t="array" ref="O8">MMULT(B8:F8,TRANSPOSE(Weight!$B$2:$F$2))</f>
        <v>3.4857313376070915</v>
      </c>
      <c r="P8" s="11">
        <f t="array" ref="P8">MMULT(B8:F8,TRANSPOSE(Weight!$B$3:$F$3))</f>
        <v>3.6761392958046297</v>
      </c>
      <c r="Q8" s="11">
        <f t="array" ref="Q8">MMULT(B8:F8,TRANSPOSE(Weight!$B$4:$F$4))</f>
        <v>3.4107462665012749</v>
      </c>
      <c r="R8" s="11">
        <f t="array" ref="R8">MMULT(B8:F8,TRANSPOSE(Weight!$B$5:$F$5))</f>
        <v>4.4107462608426227</v>
      </c>
      <c r="S8" s="11">
        <f t="array" ref="S8">MMULT(B8:F8,TRANSPOSE(Weight!$B$6:$F$6))</f>
        <v>2.9999999992226929</v>
      </c>
      <c r="T8" s="11">
        <f t="array" ref="T8">MMULT(B8:F8,TRANSPOSE(Weight!$B$7:$F$7))</f>
        <v>3.9999999935640398</v>
      </c>
      <c r="U8" s="11">
        <f t="array" ref="U8">MMULT(B8:F8,TRANSPOSE(Weight!$B$8:$F$8))</f>
        <v>3.6761392958046297</v>
      </c>
      <c r="V8" s="11">
        <f t="array" ref="V8">MMULT(B8:F8,TRANSPOSE(Weight!$B$9:$F$9))</f>
        <v>3.415482587247114</v>
      </c>
      <c r="W8" s="12">
        <f t="shared" si="8"/>
        <v>0.48573133760709153</v>
      </c>
      <c r="X8" s="12">
        <f t="shared" si="9"/>
        <v>0.67613929580462973</v>
      </c>
      <c r="Y8" s="12">
        <f t="shared" si="10"/>
        <v>0.41074626650127488</v>
      </c>
      <c r="Z8" s="12">
        <f t="shared" si="11"/>
        <v>1.4107462608426227</v>
      </c>
      <c r="AA8" s="12">
        <f t="shared" si="12"/>
        <v>-7.773071075689586E-10</v>
      </c>
      <c r="AB8" s="12">
        <f t="shared" si="13"/>
        <v>-6.4359602092167734E-9</v>
      </c>
      <c r="AC8" s="12">
        <f t="shared" si="14"/>
        <v>0.67613929580462973</v>
      </c>
      <c r="AD8" s="12">
        <f t="shared" si="15"/>
        <v>0.41548258724711395</v>
      </c>
      <c r="AE8" s="14">
        <f t="shared" si="16"/>
        <v>1.8659600518841952</v>
      </c>
      <c r="AF8" s="34">
        <f t="shared" si="17"/>
        <v>3.5860198951964577</v>
      </c>
      <c r="AG8" s="15">
        <f t="shared" si="18"/>
        <v>3.125</v>
      </c>
    </row>
    <row r="9" spans="1:33" x14ac:dyDescent="0.35">
      <c r="A9" s="13">
        <v>7</v>
      </c>
      <c r="B9" s="10">
        <v>3.2777777368828835</v>
      </c>
      <c r="C9" s="10">
        <v>1.3333333345215321</v>
      </c>
      <c r="D9" s="10">
        <v>4.6666666663696166</v>
      </c>
      <c r="E9" s="10">
        <v>2.9999999981559462</v>
      </c>
      <c r="F9" s="10">
        <v>3.555555593659292</v>
      </c>
      <c r="G9" s="9">
        <v>3</v>
      </c>
      <c r="H9" s="9">
        <v>3</v>
      </c>
      <c r="I9" s="9">
        <v>3</v>
      </c>
      <c r="J9" s="9">
        <v>3</v>
      </c>
      <c r="K9" s="9">
        <v>3</v>
      </c>
      <c r="L9" s="9">
        <v>3</v>
      </c>
      <c r="M9" s="9">
        <v>4</v>
      </c>
      <c r="N9" s="9">
        <v>3</v>
      </c>
      <c r="O9" s="11">
        <f t="array" ref="O9">MMULT(B9:F9,TRANSPOSE(Weight!$B$2:$F$2))</f>
        <v>2.9999999991211768</v>
      </c>
      <c r="P9" s="11">
        <f t="array" ref="P9">MMULT(B9:F9,TRANSPOSE(Weight!$B$3:$F$3))</f>
        <v>3.9999999999999996</v>
      </c>
      <c r="Q9" s="11">
        <f t="array" ref="Q9">MMULT(B9:F9,TRANSPOSE(Weight!$B$4:$F$4))</f>
        <v>3.0000000104435083</v>
      </c>
      <c r="R9" s="11">
        <f t="array" ref="R9">MMULT(B9:F9,TRANSPOSE(Weight!$B$5:$F$5))</f>
        <v>3.0000000227310712</v>
      </c>
      <c r="S9" s="11">
        <f t="array" ref="S9">MMULT(B9:F9,TRANSPOSE(Weight!$B$6:$F$6))</f>
        <v>3.3333333322566059</v>
      </c>
      <c r="T9" s="11">
        <f t="array" ref="T9">MMULT(B9:F9,TRANSPOSE(Weight!$B$7:$F$7))</f>
        <v>3.333333344544168</v>
      </c>
      <c r="U9" s="11">
        <f t="array" ref="U9">MMULT(B9:F9,TRANSPOSE(Weight!$B$8:$F$8))</f>
        <v>3.9999999999999996</v>
      </c>
      <c r="V9" s="11">
        <f t="array" ref="V9">MMULT(B9:F9,TRANSPOSE(Weight!$B$9:$F$9))</f>
        <v>2.9999999990717976</v>
      </c>
      <c r="W9" s="12">
        <f t="shared" si="8"/>
        <v>-8.7882323640542381E-10</v>
      </c>
      <c r="X9" s="12">
        <f t="shared" si="9"/>
        <v>0.99999999999999956</v>
      </c>
      <c r="Y9" s="12">
        <f t="shared" si="10"/>
        <v>1.0443508280388869E-8</v>
      </c>
      <c r="Z9" s="12">
        <f t="shared" si="11"/>
        <v>2.2731071247505952E-8</v>
      </c>
      <c r="AA9" s="12">
        <f t="shared" si="12"/>
        <v>0.33333333225660589</v>
      </c>
      <c r="AB9" s="12">
        <f t="shared" si="13"/>
        <v>0.33333334454416796</v>
      </c>
      <c r="AC9" s="12">
        <f t="shared" si="14"/>
        <v>0</v>
      </c>
      <c r="AD9" s="12">
        <f t="shared" si="15"/>
        <v>-9.2820240382707198E-10</v>
      </c>
      <c r="AE9" s="14">
        <f t="shared" si="16"/>
        <v>1.1055415998406815</v>
      </c>
      <c r="AF9" s="34">
        <f t="shared" si="17"/>
        <v>3.2777777847772152</v>
      </c>
      <c r="AG9" s="15">
        <f t="shared" si="18"/>
        <v>3.125</v>
      </c>
    </row>
    <row r="10" spans="1:33" x14ac:dyDescent="0.35">
      <c r="A10" s="13">
        <v>8</v>
      </c>
      <c r="B10" s="10">
        <v>2.5555558935585285</v>
      </c>
      <c r="C10" s="10">
        <v>6.9999990625262258</v>
      </c>
      <c r="D10" s="10">
        <v>2.0000002343684433</v>
      </c>
      <c r="E10" s="10">
        <v>3.6666669028576346</v>
      </c>
      <c r="F10" s="10">
        <v>1.4444445801093695</v>
      </c>
      <c r="G10" s="9">
        <v>3</v>
      </c>
      <c r="H10" s="9">
        <v>3</v>
      </c>
      <c r="I10" s="9">
        <v>3</v>
      </c>
      <c r="J10" s="9">
        <v>3</v>
      </c>
      <c r="K10" s="9">
        <v>3</v>
      </c>
      <c r="L10" s="9">
        <v>3</v>
      </c>
      <c r="M10" s="9">
        <v>3</v>
      </c>
      <c r="N10" s="9">
        <v>4</v>
      </c>
      <c r="O10" s="11">
        <f t="array" ref="O10">MMULT(B10:F10,TRANSPOSE(Weight!$B$2:$F$2))</f>
        <v>3.0000000019724045</v>
      </c>
      <c r="P10" s="11">
        <f t="array" ref="P10">MMULT(B10:F10,TRANSPOSE(Weight!$B$3:$F$3))</f>
        <v>3</v>
      </c>
      <c r="Q10" s="11">
        <f t="array" ref="Q10">MMULT(B10:F10,TRANSPOSE(Weight!$B$4:$F$4))</f>
        <v>3.3333334220000141</v>
      </c>
      <c r="R10" s="11">
        <f t="array" ref="R10">MMULT(B10:F10,TRANSPOSE(Weight!$B$5:$F$5))</f>
        <v>2.9999999411423941</v>
      </c>
      <c r="S10" s="11">
        <f t="array" ref="S10">MMULT(B10:F10,TRANSPOSE(Weight!$B$6:$F$6))</f>
        <v>3.500000118277736</v>
      </c>
      <c r="T10" s="11">
        <f t="array" ref="T10">MMULT(B10:F10,TRANSPOSE(Weight!$B$7:$F$7))</f>
        <v>3.1666666374201156</v>
      </c>
      <c r="U10" s="11">
        <f t="array" ref="U10">MMULT(B10:F10,TRANSPOSE(Weight!$B$8:$F$8))</f>
        <v>3</v>
      </c>
      <c r="V10" s="11">
        <f t="array" ref="V10">MMULT(B10:F10,TRANSPOSE(Weight!$B$9:$F$9))</f>
        <v>4.0000000010935146</v>
      </c>
      <c r="W10" s="12">
        <f t="shared" si="8"/>
        <v>1.9724044619806591E-9</v>
      </c>
      <c r="X10" s="12">
        <f t="shared" si="9"/>
        <v>0</v>
      </c>
      <c r="Y10" s="12">
        <f t="shared" si="10"/>
        <v>0.33333342200001415</v>
      </c>
      <c r="Z10" s="12">
        <f t="shared" si="11"/>
        <v>-5.8857605900186627E-8</v>
      </c>
      <c r="AA10" s="12">
        <f t="shared" si="12"/>
        <v>0.50000011827773605</v>
      </c>
      <c r="AB10" s="12">
        <f t="shared" si="13"/>
        <v>0.16666663742011556</v>
      </c>
      <c r="AC10" s="12">
        <f t="shared" si="14"/>
        <v>0</v>
      </c>
      <c r="AD10" s="12">
        <f t="shared" si="15"/>
        <v>1.0935146121937578E-9</v>
      </c>
      <c r="AE10" s="14">
        <f t="shared" si="16"/>
        <v>0.62360969887335882</v>
      </c>
      <c r="AF10" s="34">
        <f t="shared" si="17"/>
        <v>3.0555555953556945</v>
      </c>
      <c r="AG10" s="15">
        <f t="shared" si="18"/>
        <v>3.125</v>
      </c>
    </row>
    <row r="11" spans="1:33" x14ac:dyDescent="0.35">
      <c r="A11" s="13">
        <v>9</v>
      </c>
      <c r="B11" s="10">
        <v>3.0567383810656072</v>
      </c>
      <c r="C11" s="10">
        <v>1</v>
      </c>
      <c r="D11" s="10">
        <v>6.0000007500000017</v>
      </c>
      <c r="E11" s="10">
        <v>2.8617022960501712</v>
      </c>
      <c r="F11" s="10">
        <v>3.9432631167235082</v>
      </c>
      <c r="G11" s="9">
        <v>3</v>
      </c>
      <c r="H11" s="9">
        <v>5</v>
      </c>
      <c r="I11" s="9">
        <v>3</v>
      </c>
      <c r="J11" s="9">
        <v>3</v>
      </c>
      <c r="K11" s="9">
        <v>3</v>
      </c>
      <c r="L11" s="9">
        <v>3</v>
      </c>
      <c r="M11" s="9">
        <v>3</v>
      </c>
      <c r="N11" s="9">
        <v>3</v>
      </c>
      <c r="O11" s="11">
        <f t="array" ref="O11">MMULT(B11:F11,TRANSPOSE(Weight!$B$2:$F$2))</f>
        <v>3.000000599115646</v>
      </c>
      <c r="P11" s="11">
        <f t="array" ref="P11">MMULT(B11:F11,TRANSPOSE(Weight!$B$3:$F$3))</f>
        <v>5.0000006000000017</v>
      </c>
      <c r="Q11" s="11">
        <f t="array" ref="Q11">MMULT(B11:F11,TRANSPOSE(Weight!$B$4:$F$4))</f>
        <v>3.0000003126471553</v>
      </c>
      <c r="R11" s="11">
        <f t="array" ref="R11">MMULT(B11:F11,TRANSPOSE(Weight!$B$5:$F$5))</f>
        <v>3.1382983292441389</v>
      </c>
      <c r="S11" s="11">
        <f t="array" ref="S11">MMULT(B11:F11,TRANSPOSE(Weight!$B$6:$F$6))</f>
        <v>3.6170216026301034</v>
      </c>
      <c r="T11" s="11">
        <f t="array" ref="T11">MMULT(B11:F11,TRANSPOSE(Weight!$B$7:$F$7))</f>
        <v>3.7553196192270875</v>
      </c>
      <c r="U11" s="11">
        <f t="array" ref="U11">MMULT(B11:F11,TRANSPOSE(Weight!$B$8:$F$8))</f>
        <v>5.0000006000000017</v>
      </c>
      <c r="V11" s="11">
        <f t="array" ref="V11">MMULT(B11:F11,TRANSPOSE(Weight!$B$9:$F$9))</f>
        <v>3.117021527630103</v>
      </c>
      <c r="W11" s="12">
        <f t="shared" si="8"/>
        <v>5.991156459828062E-7</v>
      </c>
      <c r="X11" s="12">
        <f t="shared" si="9"/>
        <v>6.0000000168258794E-7</v>
      </c>
      <c r="Y11" s="12">
        <f t="shared" si="10"/>
        <v>3.1264715527612452E-7</v>
      </c>
      <c r="Z11" s="12">
        <f t="shared" si="11"/>
        <v>0.13829832924413887</v>
      </c>
      <c r="AA11" s="12">
        <f t="shared" si="12"/>
        <v>0.61702160263010342</v>
      </c>
      <c r="AB11" s="12">
        <f t="shared" si="13"/>
        <v>0.75531961922708746</v>
      </c>
      <c r="AC11" s="12">
        <f t="shared" si="14"/>
        <v>2.0000006000000017</v>
      </c>
      <c r="AD11" s="12">
        <f t="shared" si="15"/>
        <v>0.11702152763010298</v>
      </c>
      <c r="AE11" s="14">
        <f t="shared" si="16"/>
        <v>2.2324977606043328</v>
      </c>
      <c r="AF11" s="34">
        <f t="shared" si="17"/>
        <v>3.5540784971361568</v>
      </c>
      <c r="AG11" s="15">
        <f t="shared" si="18"/>
        <v>3.25</v>
      </c>
    </row>
    <row r="12" spans="1:33" x14ac:dyDescent="0.35">
      <c r="A12" s="13">
        <v>10</v>
      </c>
      <c r="B12" s="10">
        <v>1.9751781089667713</v>
      </c>
      <c r="C12" s="10">
        <v>1</v>
      </c>
      <c r="D12" s="10">
        <v>3.5000007489326106</v>
      </c>
      <c r="E12" s="10">
        <v>5.6542554711684367</v>
      </c>
      <c r="F12" s="10">
        <v>5.024823389532755</v>
      </c>
      <c r="G12" s="9">
        <v>3</v>
      </c>
      <c r="H12" s="9">
        <v>3</v>
      </c>
      <c r="I12" s="9">
        <v>5</v>
      </c>
      <c r="J12" s="9">
        <v>3</v>
      </c>
      <c r="K12" s="9">
        <v>3</v>
      </c>
      <c r="L12" s="9">
        <v>3</v>
      </c>
      <c r="M12" s="9">
        <v>3</v>
      </c>
      <c r="N12" s="9">
        <v>3</v>
      </c>
      <c r="O12" s="11">
        <f t="array" ref="O12">MMULT(B12:F12,TRANSPOSE(Weight!$B$2:$F$2))</f>
        <v>3.0000005993998107</v>
      </c>
      <c r="P12" s="11">
        <f t="array" ref="P12">MMULT(B12:F12,TRANSPOSE(Weight!$B$3:$F$3))</f>
        <v>3.0000005991460887</v>
      </c>
      <c r="Q12" s="11">
        <f t="array" ref="Q12">MMULT(B12:F12,TRANSPOSE(Weight!$B$4:$F$4))</f>
        <v>5.0000002995608881</v>
      </c>
      <c r="R12" s="11">
        <f t="array" ref="R12">MMULT(B12:F12,TRANSPOSE(Weight!$B$5:$F$5))</f>
        <v>4.3457451279533403</v>
      </c>
      <c r="S12" s="11">
        <f t="array" ref="S12">MMULT(B12:F12,TRANSPOSE(Weight!$B$6:$F$6))</f>
        <v>4.5425535073808447</v>
      </c>
      <c r="T12" s="11">
        <f t="array" ref="T12">MMULT(B12:F12,TRANSPOSE(Weight!$B$7:$F$7))</f>
        <v>3.888298335773297</v>
      </c>
      <c r="U12" s="11">
        <f t="array" ref="U12">MMULT(B12:F12,TRANSPOSE(Weight!$B$8:$F$8))</f>
        <v>3.0000005991460887</v>
      </c>
      <c r="V12" s="11">
        <f t="array" ref="V12">MMULT(B12:F12,TRANSPOSE(Weight!$B$9:$F$9))</f>
        <v>4.2925534324875843</v>
      </c>
      <c r="W12" s="12">
        <f t="shared" si="8"/>
        <v>5.9939981067458348E-7</v>
      </c>
      <c r="X12" s="12">
        <f t="shared" si="9"/>
        <v>5.9914608874223063E-7</v>
      </c>
      <c r="Y12" s="12">
        <f t="shared" si="10"/>
        <v>2.9956088809512949E-7</v>
      </c>
      <c r="Z12" s="12">
        <f t="shared" si="11"/>
        <v>1.3457451279533403</v>
      </c>
      <c r="AA12" s="12">
        <f t="shared" si="12"/>
        <v>1.5425535073808447</v>
      </c>
      <c r="AB12" s="12">
        <f t="shared" si="13"/>
        <v>0.88829833577329698</v>
      </c>
      <c r="AC12" s="12">
        <f t="shared" si="14"/>
        <v>5.9914608874223063E-7</v>
      </c>
      <c r="AD12" s="12">
        <f t="shared" si="15"/>
        <v>1.2925534324875843</v>
      </c>
      <c r="AE12" s="14">
        <f t="shared" si="16"/>
        <v>2.5788116607688334</v>
      </c>
      <c r="AF12" s="34">
        <f t="shared" si="17"/>
        <v>3.9685288453351348</v>
      </c>
      <c r="AG12" s="15">
        <f t="shared" si="18"/>
        <v>3.25</v>
      </c>
    </row>
    <row r="13" spans="1:33" x14ac:dyDescent="0.35">
      <c r="A13" s="13">
        <v>11</v>
      </c>
      <c r="B13" s="10">
        <v>1</v>
      </c>
      <c r="C13" s="10">
        <v>3.0000000002599263</v>
      </c>
      <c r="D13" s="10">
        <v>3.0000000002599352</v>
      </c>
      <c r="E13" s="10">
        <v>2.9999999998267115</v>
      </c>
      <c r="F13" s="10">
        <v>6.33333331527</v>
      </c>
      <c r="G13" s="9">
        <v>3</v>
      </c>
      <c r="H13" s="9">
        <v>3</v>
      </c>
      <c r="I13" s="9">
        <v>3</v>
      </c>
      <c r="J13" s="9">
        <v>5</v>
      </c>
      <c r="K13" s="9">
        <v>3</v>
      </c>
      <c r="L13" s="9">
        <v>3</v>
      </c>
      <c r="M13" s="9">
        <v>3</v>
      </c>
      <c r="N13" s="9">
        <v>3</v>
      </c>
      <c r="O13" s="11">
        <f t="array" ref="O13">MMULT(B13:F13,TRANSPOSE(Weight!$B$2:$F$2))</f>
        <v>3.5333333261599851</v>
      </c>
      <c r="P13" s="11">
        <f t="array" ref="P13">MMULT(B13:F13,TRANSPOSE(Weight!$B$3:$F$3))</f>
        <v>3.0000000002599334</v>
      </c>
      <c r="Q13" s="11">
        <f t="array" ref="Q13">MMULT(B13:F13,TRANSPOSE(Weight!$B$4:$F$4))</f>
        <v>3.9999999945030194</v>
      </c>
      <c r="R13" s="11">
        <f t="array" ref="R13">MMULT(B13:F13,TRANSPOSE(Weight!$B$5:$F$5))</f>
        <v>4.9999999891793276</v>
      </c>
      <c r="S13" s="11">
        <f t="array" ref="S13">MMULT(B13:F13,TRANSPOSE(Weight!$B$6:$F$6))</f>
        <v>3</v>
      </c>
      <c r="T13" s="11">
        <f t="array" ref="T13">MMULT(B13:F13,TRANSPOSE(Weight!$B$7:$F$7))</f>
        <v>3.9999999946763083</v>
      </c>
      <c r="U13" s="11">
        <f t="array" ref="U13">MMULT(B13:F13,TRANSPOSE(Weight!$B$8:$F$8))</f>
        <v>3.0000000002599334</v>
      </c>
      <c r="V13" s="11">
        <f t="array" ref="V13">MMULT(B13:F13,TRANSPOSE(Weight!$B$9:$F$9))</f>
        <v>2.9999999999999991</v>
      </c>
      <c r="W13" s="12">
        <f t="shared" si="8"/>
        <v>0.53333332615998508</v>
      </c>
      <c r="X13" s="12">
        <f t="shared" si="9"/>
        <v>2.5993340813101895E-10</v>
      </c>
      <c r="Y13" s="12">
        <f t="shared" si="10"/>
        <v>0.99999999450301935</v>
      </c>
      <c r="Z13" s="12">
        <f t="shared" si="11"/>
        <v>-1.0820672358136108E-8</v>
      </c>
      <c r="AA13" s="12">
        <f t="shared" si="12"/>
        <v>0</v>
      </c>
      <c r="AB13" s="12">
        <f t="shared" si="13"/>
        <v>0.99999999467630829</v>
      </c>
      <c r="AC13" s="12">
        <f t="shared" si="14"/>
        <v>2.5993340813101895E-10</v>
      </c>
      <c r="AD13" s="12">
        <f t="shared" si="15"/>
        <v>0</v>
      </c>
      <c r="AE13" s="14">
        <f t="shared" si="16"/>
        <v>1.511437863476871</v>
      </c>
      <c r="AF13" s="34">
        <f t="shared" si="17"/>
        <v>3.7999999946286538</v>
      </c>
      <c r="AG13" s="15">
        <f t="shared" si="18"/>
        <v>3.25</v>
      </c>
    </row>
    <row r="14" spans="1:33" x14ac:dyDescent="0.35">
      <c r="A14" s="13">
        <v>12</v>
      </c>
      <c r="B14" s="10">
        <v>4.4098945589914607</v>
      </c>
      <c r="C14" s="10">
        <v>1</v>
      </c>
      <c r="D14" s="10">
        <v>3.8739701164775511</v>
      </c>
      <c r="E14" s="10">
        <v>6.2296821083819793</v>
      </c>
      <c r="F14" s="10">
        <v>2.5901069367156033</v>
      </c>
      <c r="G14" s="9">
        <v>3</v>
      </c>
      <c r="H14" s="9">
        <v>3</v>
      </c>
      <c r="I14" s="9">
        <v>3</v>
      </c>
      <c r="J14" s="9">
        <v>3</v>
      </c>
      <c r="K14" s="9">
        <v>5</v>
      </c>
      <c r="L14" s="9">
        <v>3</v>
      </c>
      <c r="M14" s="9">
        <v>3</v>
      </c>
      <c r="N14" s="9">
        <v>3</v>
      </c>
      <c r="O14" s="11">
        <f t="array" ref="O14">MMULT(B14:F14,TRANSPOSE(Weight!$B$2:$F$2))</f>
        <v>3.0000005982828255</v>
      </c>
      <c r="P14" s="11">
        <f t="array" ref="P14">MMULT(B14:F14,TRANSPOSE(Weight!$B$3:$F$3))</f>
        <v>3.2991760931820413</v>
      </c>
      <c r="Q14" s="11">
        <f t="array" ref="Q14">MMULT(B14:F14,TRANSPOSE(Weight!$B$4:$F$4))</f>
        <v>4.6148413460438684</v>
      </c>
      <c r="R14" s="11">
        <f t="array" ref="R14">MMULT(B14:F14,TRANSPOSE(Weight!$B$5:$F$5))</f>
        <v>3.000000583705758</v>
      </c>
      <c r="S14" s="11">
        <f t="array" ref="S14">MMULT(B14:F14,TRANSPOSE(Weight!$B$6:$F$6))</f>
        <v>5.0000002999724531</v>
      </c>
      <c r="T14" s="11">
        <f t="array" ref="T14">MMULT(B14:F14,TRANSPOSE(Weight!$B$7:$F$7))</f>
        <v>3.3851595376343422</v>
      </c>
      <c r="U14" s="11">
        <f t="array" ref="U14">MMULT(B14:F14,TRANSPOSE(Weight!$B$8:$F$8))</f>
        <v>3.2991760931820413</v>
      </c>
      <c r="V14" s="11">
        <f t="array" ref="V14">MMULT(B14:F14,TRANSPOSE(Weight!$B$9:$F$9))</f>
        <v>4.712603288324698</v>
      </c>
      <c r="W14" s="12">
        <f t="shared" si="8"/>
        <v>5.9828282550355993E-7</v>
      </c>
      <c r="X14" s="12">
        <f t="shared" si="9"/>
        <v>0.2991760931820413</v>
      </c>
      <c r="Y14" s="12">
        <f t="shared" si="10"/>
        <v>1.6148413460438684</v>
      </c>
      <c r="Z14" s="12">
        <f t="shared" si="11"/>
        <v>5.8370575795052559E-7</v>
      </c>
      <c r="AA14" s="12">
        <f t="shared" si="12"/>
        <v>2.9997245309942855E-7</v>
      </c>
      <c r="AB14" s="12">
        <f t="shared" si="13"/>
        <v>0.38515953763434219</v>
      </c>
      <c r="AC14" s="12">
        <f t="shared" si="14"/>
        <v>0.2991760931820413</v>
      </c>
      <c r="AD14" s="12">
        <f t="shared" si="15"/>
        <v>1.712603288324698</v>
      </c>
      <c r="AE14" s="14">
        <f t="shared" si="16"/>
        <v>2.4224126681819036</v>
      </c>
      <c r="AF14" s="34">
        <f t="shared" si="17"/>
        <v>3.7002360873048321</v>
      </c>
      <c r="AG14" s="15">
        <f t="shared" si="18"/>
        <v>3.25</v>
      </c>
    </row>
    <row r="15" spans="1:33" x14ac:dyDescent="0.35">
      <c r="A15" s="13">
        <v>13</v>
      </c>
      <c r="B15" s="10">
        <v>1</v>
      </c>
      <c r="C15" s="10">
        <v>7</v>
      </c>
      <c r="D15" s="10">
        <v>3.8635923245794075</v>
      </c>
      <c r="E15" s="10">
        <v>2.3496920777364005</v>
      </c>
      <c r="F15" s="10">
        <v>6.5699462450611898</v>
      </c>
      <c r="G15" s="9">
        <v>3</v>
      </c>
      <c r="H15" s="9">
        <v>3</v>
      </c>
      <c r="I15" s="9">
        <v>3</v>
      </c>
      <c r="J15" s="9">
        <v>3</v>
      </c>
      <c r="K15" s="9">
        <v>3</v>
      </c>
      <c r="L15" s="9">
        <v>5</v>
      </c>
      <c r="M15" s="9">
        <v>3</v>
      </c>
      <c r="N15" s="9">
        <v>3</v>
      </c>
      <c r="O15" s="11">
        <f t="array" ref="O15">MMULT(B15:F15,TRANSPOSE(Weight!$B$2:$F$2))</f>
        <v>4.4279784980244763</v>
      </c>
      <c r="P15" s="11">
        <f t="array" ref="P15">MMULT(B15:F15,TRANSPOSE(Weight!$B$3:$F$3))</f>
        <v>4.4908738596635267</v>
      </c>
      <c r="Q15" s="11">
        <f t="array" ref="Q15">MMULT(B15:F15,TRANSPOSE(Weight!$B$4:$F$4))</f>
        <v>4.0807991201601972</v>
      </c>
      <c r="R15" s="11">
        <f t="array" ref="R15">MMULT(B15:F15,TRANSPOSE(Weight!$B$5:$F$5))</f>
        <v>5.8119061625839938</v>
      </c>
      <c r="S15" s="11">
        <f t="array" ref="S15">MMULT(B15:F15,TRANSPOSE(Weight!$B$6:$F$6))</f>
        <v>3.2688929440156627</v>
      </c>
      <c r="T15" s="11">
        <f t="array" ref="T15">MMULT(B15:F15,TRANSPOSE(Weight!$B$7:$F$7))</f>
        <v>4.9999999864394589</v>
      </c>
      <c r="U15" s="11">
        <f t="array" ref="U15">MMULT(B15:F15,TRANSPOSE(Weight!$B$8:$F$8))</f>
        <v>4.4908738596635267</v>
      </c>
      <c r="V15" s="11">
        <f t="array" ref="V15">MMULT(B15:F15,TRANSPOSE(Weight!$B$9:$F$9))</f>
        <v>3.5825337115577218</v>
      </c>
      <c r="W15" s="12">
        <f t="shared" si="8"/>
        <v>1.4279784980244763</v>
      </c>
      <c r="X15" s="12">
        <f t="shared" si="9"/>
        <v>1.4908738596635267</v>
      </c>
      <c r="Y15" s="12">
        <f t="shared" si="10"/>
        <v>1.0807991201601972</v>
      </c>
      <c r="Z15" s="12">
        <f t="shared" si="11"/>
        <v>2.8119061625839938</v>
      </c>
      <c r="AA15" s="12">
        <f t="shared" si="12"/>
        <v>0.26889294401566266</v>
      </c>
      <c r="AB15" s="12">
        <f t="shared" si="13"/>
        <v>-1.3560541134438608E-8</v>
      </c>
      <c r="AC15" s="12">
        <f t="shared" si="14"/>
        <v>1.4908738596635267</v>
      </c>
      <c r="AD15" s="12">
        <f t="shared" si="15"/>
        <v>0.58253371155772182</v>
      </c>
      <c r="AE15" s="14">
        <f t="shared" si="16"/>
        <v>3.9963889034271687</v>
      </c>
      <c r="AF15" s="34">
        <f t="shared" si="17"/>
        <v>4.481125357868339</v>
      </c>
      <c r="AG15" s="15">
        <f t="shared" si="18"/>
        <v>3.25</v>
      </c>
    </row>
    <row r="16" spans="1:33" x14ac:dyDescent="0.35">
      <c r="A16" s="13">
        <v>14</v>
      </c>
      <c r="B16" s="10">
        <v>3.0567383801222059</v>
      </c>
      <c r="C16" s="10">
        <v>1</v>
      </c>
      <c r="D16" s="10">
        <v>6.0000007500000017</v>
      </c>
      <c r="E16" s="10">
        <v>2.8617022955784708</v>
      </c>
      <c r="F16" s="10">
        <v>3.9432631176669095</v>
      </c>
      <c r="G16" s="9">
        <v>3</v>
      </c>
      <c r="H16" s="9">
        <v>3</v>
      </c>
      <c r="I16" s="9">
        <v>3</v>
      </c>
      <c r="J16" s="9">
        <v>3</v>
      </c>
      <c r="K16" s="9">
        <v>3</v>
      </c>
      <c r="L16" s="9">
        <v>3</v>
      </c>
      <c r="M16" s="9">
        <v>5</v>
      </c>
      <c r="N16" s="9">
        <v>3</v>
      </c>
      <c r="O16" s="11">
        <f t="array" ref="O16">MMULT(B16:F16,TRANSPOSE(Weight!$B$2:$F$2))</f>
        <v>3.000000599115646</v>
      </c>
      <c r="P16" s="11">
        <f t="array" ref="P16">MMULT(B16:F16,TRANSPOSE(Weight!$B$3:$F$3))</f>
        <v>5.0000006000000017</v>
      </c>
      <c r="Q16" s="11">
        <f t="array" ref="Q16">MMULT(B16:F16,TRANSPOSE(Weight!$B$4:$F$4))</f>
        <v>3.0000003126471553</v>
      </c>
      <c r="R16" s="11">
        <f t="array" ref="R16">MMULT(B16:F16,TRANSPOSE(Weight!$B$5:$F$5))</f>
        <v>3.1382983297158398</v>
      </c>
      <c r="S16" s="11">
        <f t="array" ref="S16">MMULT(B16:F16,TRANSPOSE(Weight!$B$6:$F$6))</f>
        <v>3.6170216023470827</v>
      </c>
      <c r="T16" s="11">
        <f t="array" ref="T16">MMULT(B16:F16,TRANSPOSE(Weight!$B$7:$F$7))</f>
        <v>3.7553196194157672</v>
      </c>
      <c r="U16" s="11">
        <f t="array" ref="U16">MMULT(B16:F16,TRANSPOSE(Weight!$B$8:$F$8))</f>
        <v>5.0000006000000017</v>
      </c>
      <c r="V16" s="11">
        <f t="array" ref="V16">MMULT(B16:F16,TRANSPOSE(Weight!$B$9:$F$9))</f>
        <v>3.1170215273470827</v>
      </c>
      <c r="W16" s="12">
        <f t="shared" si="8"/>
        <v>5.991156459828062E-7</v>
      </c>
      <c r="X16" s="12">
        <f t="shared" si="9"/>
        <v>2.0000006000000017</v>
      </c>
      <c r="Y16" s="12">
        <f t="shared" si="10"/>
        <v>3.1264715527612452E-7</v>
      </c>
      <c r="Z16" s="12">
        <f t="shared" si="11"/>
        <v>0.13829832971583977</v>
      </c>
      <c r="AA16" s="12">
        <f t="shared" si="12"/>
        <v>0.6170216023470827</v>
      </c>
      <c r="AB16" s="12">
        <f t="shared" si="13"/>
        <v>0.7553196194157672</v>
      </c>
      <c r="AC16" s="12">
        <f t="shared" si="14"/>
        <v>6.0000000168258794E-7</v>
      </c>
      <c r="AD16" s="12">
        <f t="shared" si="15"/>
        <v>0.11702152734708271</v>
      </c>
      <c r="AE16" s="14">
        <f t="shared" si="16"/>
        <v>2.2324977606043324</v>
      </c>
      <c r="AF16" s="34">
        <f t="shared" si="17"/>
        <v>3.5540784972069117</v>
      </c>
      <c r="AG16" s="15">
        <f t="shared" si="18"/>
        <v>3.25</v>
      </c>
    </row>
    <row r="17" spans="1:33" x14ac:dyDescent="0.35">
      <c r="A17" s="13">
        <v>15</v>
      </c>
      <c r="B17" s="10">
        <v>3.0000000042471622</v>
      </c>
      <c r="C17" s="10">
        <v>7</v>
      </c>
      <c r="D17" s="10">
        <v>2.0064001367172559</v>
      </c>
      <c r="E17" s="10">
        <v>5.3311999586338912</v>
      </c>
      <c r="F17" s="10">
        <v>1</v>
      </c>
      <c r="G17" s="9">
        <v>3</v>
      </c>
      <c r="H17" s="9">
        <v>3</v>
      </c>
      <c r="I17" s="9">
        <v>3</v>
      </c>
      <c r="J17" s="9">
        <v>3</v>
      </c>
      <c r="K17" s="9">
        <v>3</v>
      </c>
      <c r="L17" s="9">
        <v>3</v>
      </c>
      <c r="M17" s="9">
        <v>3</v>
      </c>
      <c r="N17" s="9">
        <v>5</v>
      </c>
      <c r="O17" s="11">
        <f t="array" ref="O17">MMULT(B17:F17,TRANSPOSE(Weight!$B$2:$F$2))</f>
        <v>3.000000001698865</v>
      </c>
      <c r="P17" s="11">
        <f t="array" ref="P17">MMULT(B17:F17,TRANSPOSE(Weight!$B$3:$F$3))</f>
        <v>3.0051201093738049</v>
      </c>
      <c r="Q17" s="11">
        <f t="array" ref="Q17">MMULT(B17:F17,TRANSPOSE(Weight!$B$4:$F$4))</f>
        <v>4.1987199751803352</v>
      </c>
      <c r="R17" s="11">
        <f t="array" ref="R17">MMULT(B17:F17,TRANSPOSE(Weight!$B$5:$F$5))</f>
        <v>3.0662399917267784</v>
      </c>
      <c r="S17" s="11">
        <f t="array" ref="S17">MMULT(B17:F17,TRANSPOSE(Weight!$B$6:$F$6))</f>
        <v>4.5006400161955114</v>
      </c>
      <c r="T17" s="11">
        <f t="array" ref="T17">MMULT(B17:F17,TRANSPOSE(Weight!$B$7:$F$7))</f>
        <v>3.3681600327419545</v>
      </c>
      <c r="U17" s="11">
        <f t="array" ref="U17">MMULT(B17:F17,TRANSPOSE(Weight!$B$8:$F$8))</f>
        <v>3.0051201093738049</v>
      </c>
      <c r="V17" s="11">
        <f t="array" ref="V17">MMULT(B17:F17,TRANSPOSE(Weight!$B$9:$F$9))</f>
        <v>5.0000000025237856</v>
      </c>
      <c r="W17" s="12">
        <f t="shared" si="8"/>
        <v>1.6988650486382539E-9</v>
      </c>
      <c r="X17" s="12">
        <f t="shared" si="9"/>
        <v>5.1201093738049153E-3</v>
      </c>
      <c r="Y17" s="12">
        <f t="shared" si="10"/>
        <v>1.1987199751803352</v>
      </c>
      <c r="Z17" s="12">
        <f t="shared" si="11"/>
        <v>6.6239991726778413E-2</v>
      </c>
      <c r="AA17" s="12">
        <f t="shared" si="12"/>
        <v>1.5006400161955114</v>
      </c>
      <c r="AB17" s="12">
        <f t="shared" si="13"/>
        <v>0.36816003274195452</v>
      </c>
      <c r="AC17" s="12">
        <f t="shared" si="14"/>
        <v>5.1201093738049153E-3</v>
      </c>
      <c r="AD17" s="12">
        <f t="shared" si="15"/>
        <v>2.5237856249304969E-9</v>
      </c>
      <c r="AE17" s="14">
        <f t="shared" si="16"/>
        <v>1.9567401499320569</v>
      </c>
      <c r="AF17" s="34">
        <f t="shared" si="17"/>
        <v>3.3840800174266401</v>
      </c>
      <c r="AG17" s="15">
        <f t="shared" si="18"/>
        <v>3.25</v>
      </c>
    </row>
    <row r="18" spans="1:33" x14ac:dyDescent="0.35">
      <c r="A18" s="13">
        <v>16</v>
      </c>
      <c r="B18" s="10">
        <v>7</v>
      </c>
      <c r="C18" s="10">
        <v>5.8450317497698734</v>
      </c>
      <c r="D18" s="10">
        <v>2.3234941219777863</v>
      </c>
      <c r="E18" s="10">
        <v>2.8640809491107087</v>
      </c>
      <c r="F18" s="10">
        <v>2.5774841282111671</v>
      </c>
      <c r="G18" s="9">
        <v>5</v>
      </c>
      <c r="H18" s="9">
        <v>3</v>
      </c>
      <c r="I18" s="9">
        <v>3</v>
      </c>
      <c r="J18" s="9">
        <v>3</v>
      </c>
      <c r="K18" s="9">
        <v>3</v>
      </c>
      <c r="L18" s="9">
        <v>3</v>
      </c>
      <c r="M18" s="9">
        <v>3</v>
      </c>
      <c r="N18" s="9">
        <v>3</v>
      </c>
      <c r="O18" s="11">
        <f t="array" ref="O18">MMULT(B18:F18,TRANSPOSE(Weight!$B$2:$F$2))</f>
        <v>5.0000000012384422</v>
      </c>
      <c r="P18" s="11">
        <f t="array" ref="P18">MMULT(B18:F18,TRANSPOSE(Weight!$B$3:$F$3))</f>
        <v>3.0278016475362035</v>
      </c>
      <c r="Q18" s="11">
        <f t="array" ref="Q18">MMULT(B18:F18,TRANSPOSE(Weight!$B$4:$F$4))</f>
        <v>3.0761969829067626</v>
      </c>
      <c r="R18" s="11">
        <f t="array" ref="R18">MMULT(B18:F18,TRANSPOSE(Weight!$B$5:$F$5))</f>
        <v>3.2883130167028165</v>
      </c>
      <c r="S18" s="11">
        <f t="array" ref="S18">MMULT(B18:F18,TRANSPOSE(Weight!$B$6:$F$6))</f>
        <v>2.9999999810367481</v>
      </c>
      <c r="T18" s="11">
        <f t="array" ref="T18">MMULT(B18:F18,TRANSPOSE(Weight!$B$7:$F$7))</f>
        <v>3.2121160148328021</v>
      </c>
      <c r="U18" s="11">
        <f t="array" ref="U18">MMULT(B18:F18,TRANSPOSE(Weight!$B$8:$F$8))</f>
        <v>3.0278016475362035</v>
      </c>
      <c r="V18" s="11">
        <f t="array" ref="V18">MMULT(B18:F18,TRANSPOSE(Weight!$B$9:$F$9))</f>
        <v>3.3521537438159568</v>
      </c>
      <c r="W18" s="12">
        <f t="shared" si="8"/>
        <v>1.238442237649906E-9</v>
      </c>
      <c r="X18" s="12">
        <f t="shared" si="9"/>
        <v>2.7801647536203511E-2</v>
      </c>
      <c r="Y18" s="12">
        <f t="shared" si="10"/>
        <v>7.6196982906762578E-2</v>
      </c>
      <c r="Z18" s="12">
        <f t="shared" si="11"/>
        <v>0.2883130167028165</v>
      </c>
      <c r="AA18" s="12">
        <f t="shared" si="12"/>
        <v>-1.8963251857684327E-8</v>
      </c>
      <c r="AB18" s="12">
        <f t="shared" si="13"/>
        <v>0.21211601483280207</v>
      </c>
      <c r="AC18" s="12">
        <f t="shared" si="14"/>
        <v>2.7801647536203511E-2</v>
      </c>
      <c r="AD18" s="12">
        <f t="shared" si="15"/>
        <v>0.35215374381595677</v>
      </c>
      <c r="AE18" s="14">
        <f t="shared" si="16"/>
        <v>0.50939346486578618</v>
      </c>
      <c r="AF18" s="34">
        <f>0.1*B18+0.15*C18+0.2*D18+0.25*E18+0.3*F18</f>
        <v>3.5307190626020657</v>
      </c>
      <c r="AG18" s="15">
        <f t="shared" si="18"/>
        <v>3.25</v>
      </c>
    </row>
    <row r="19" spans="1:33" x14ac:dyDescent="0.35">
      <c r="A19" s="13">
        <v>17</v>
      </c>
      <c r="B19" s="10">
        <v>2.9999999959562555</v>
      </c>
      <c r="C19" s="10">
        <v>3.0000000069429924</v>
      </c>
      <c r="D19" s="10">
        <v>2.9999999985891677</v>
      </c>
      <c r="E19" s="10">
        <v>2.9999999981559462</v>
      </c>
      <c r="F19" s="10">
        <v>3.000000000572248</v>
      </c>
      <c r="G19" s="9">
        <v>3</v>
      </c>
      <c r="H19" s="9">
        <v>3</v>
      </c>
      <c r="I19" s="9">
        <v>3</v>
      </c>
      <c r="J19" s="9">
        <v>3</v>
      </c>
      <c r="K19" s="9">
        <v>3</v>
      </c>
      <c r="L19" s="9">
        <v>3</v>
      </c>
      <c r="M19" s="9">
        <v>3</v>
      </c>
      <c r="N19" s="9">
        <v>3</v>
      </c>
      <c r="O19" s="11">
        <f t="array" ref="O19">MMULT(B19:F19,TRANSPOSE(Weight!$B$2:$F$2))</f>
        <v>3</v>
      </c>
      <c r="P19" s="11">
        <f t="array" ref="P19">MMULT(B19:F19,TRANSPOSE(Weight!$B$3:$F$3))</f>
        <v>3.000000000259933</v>
      </c>
      <c r="Q19" s="11">
        <f t="array" ref="Q19">MMULT(B19:F19,TRANSPOSE(Weight!$B$4:$F$4))</f>
        <v>2.9999999997595408</v>
      </c>
      <c r="R19" s="11">
        <f t="array" ref="R19">MMULT(B19:F19,TRANSPOSE(Weight!$B$5:$F$5))</f>
        <v>3.0000000013631367</v>
      </c>
      <c r="S19" s="11">
        <f t="array" ref="S19">MMULT(B19:F19,TRANSPOSE(Weight!$B$6:$F$6))</f>
        <v>2.9999999991646171</v>
      </c>
      <c r="T19" s="11">
        <f t="array" ref="T19">MMULT(B19:F19,TRANSPOSE(Weight!$B$7:$F$7))</f>
        <v>3.0000000007682122</v>
      </c>
      <c r="U19" s="11">
        <f t="array" ref="U19">MMULT(B19:F19,TRANSPOSE(Weight!$B$8:$F$8))</f>
        <v>3.000000000259933</v>
      </c>
      <c r="V19" s="11">
        <f t="array" ref="V19">MMULT(B19:F19,TRANSPOSE(Weight!$B$9:$F$9))</f>
        <v>2.9999999999999996</v>
      </c>
      <c r="W19" s="12">
        <f t="shared" ref="W19:W20" si="19">O19-G19</f>
        <v>0</v>
      </c>
      <c r="X19" s="12">
        <f t="shared" ref="X19:X20" si="20">P19-H19</f>
        <v>2.599329640418091E-10</v>
      </c>
      <c r="Y19" s="12">
        <f t="shared" ref="Y19:Y20" si="21">Q19-I19</f>
        <v>-2.40459208100674E-10</v>
      </c>
      <c r="Z19" s="12">
        <f t="shared" ref="Z19:Z20" si="22">R19-J19</f>
        <v>1.3631367146160756E-9</v>
      </c>
      <c r="AA19" s="12">
        <f t="shared" ref="AA19:AA20" si="23">S19-K19</f>
        <v>-8.3538287398710054E-10</v>
      </c>
      <c r="AB19" s="12">
        <f t="shared" ref="AB19:AB20" si="24">T19-L19</f>
        <v>7.6821216055122932E-10</v>
      </c>
      <c r="AC19" s="12">
        <f t="shared" ref="AC19:AC20" si="25">U19-M19</f>
        <v>2.599329640418091E-10</v>
      </c>
      <c r="AD19" s="12">
        <f t="shared" ref="AD19:AD20" si="26">V19-N19</f>
        <v>0</v>
      </c>
      <c r="AE19" s="14">
        <f t="shared" ref="AE19:AE20" si="27">SQRT(SUMSQ(W19:AD19))</f>
        <v>1.8273223839420257E-9</v>
      </c>
      <c r="AF19" s="34">
        <f>0.1*B19+0.15*C19+0.2*D19+0.25*E19+0.3*F19</f>
        <v>3.0000000000655689</v>
      </c>
      <c r="AG19" s="15">
        <f t="shared" ref="AG19:AG20" si="28">AVERAGE(G19:N19)</f>
        <v>3</v>
      </c>
    </row>
    <row r="20" spans="1:33" x14ac:dyDescent="0.35">
      <c r="A20" s="13">
        <v>18</v>
      </c>
      <c r="B20" s="10">
        <v>2.9999999959562555</v>
      </c>
      <c r="C20" s="10">
        <v>3.0000000069429924</v>
      </c>
      <c r="D20" s="10">
        <v>2.9999999985891677</v>
      </c>
      <c r="E20" s="10">
        <v>2.9999999981559462</v>
      </c>
      <c r="F20" s="10">
        <v>3.000000000572248</v>
      </c>
      <c r="G20" s="9">
        <v>3</v>
      </c>
      <c r="H20" s="9">
        <v>3</v>
      </c>
      <c r="I20" s="9">
        <v>3</v>
      </c>
      <c r="J20" s="9">
        <v>3</v>
      </c>
      <c r="K20" s="9">
        <v>3</v>
      </c>
      <c r="L20" s="9">
        <v>3</v>
      </c>
      <c r="M20" s="9">
        <v>3</v>
      </c>
      <c r="N20" s="9">
        <v>3</v>
      </c>
      <c r="O20" s="11">
        <f t="array" ref="O20">MMULT(B20:F20,TRANSPOSE(Weight!$B$2:$F$2))</f>
        <v>3</v>
      </c>
      <c r="P20" s="11">
        <f t="array" ref="P20">MMULT(B20:F20,TRANSPOSE(Weight!$B$3:$F$3))</f>
        <v>3.000000000259933</v>
      </c>
      <c r="Q20" s="11">
        <f t="array" ref="Q20">MMULT(B20:F20,TRANSPOSE(Weight!$B$4:$F$4))</f>
        <v>2.9999999997595408</v>
      </c>
      <c r="R20" s="11">
        <f t="array" ref="R20">MMULT(B20:F20,TRANSPOSE(Weight!$B$5:$F$5))</f>
        <v>3.0000000013631367</v>
      </c>
      <c r="S20" s="11">
        <f t="array" ref="S20">MMULT(B20:F20,TRANSPOSE(Weight!$B$6:$F$6))</f>
        <v>2.9999999991646171</v>
      </c>
      <c r="T20" s="11">
        <f t="array" ref="T20">MMULT(B20:F20,TRANSPOSE(Weight!$B$7:$F$7))</f>
        <v>3.0000000007682122</v>
      </c>
      <c r="U20" s="11">
        <f t="array" ref="U20">MMULT(B20:F20,TRANSPOSE(Weight!$B$8:$F$8))</f>
        <v>3.000000000259933</v>
      </c>
      <c r="V20" s="11">
        <f t="array" ref="V20">MMULT(B20:F20,TRANSPOSE(Weight!$B$9:$F$9))</f>
        <v>2.9999999999999996</v>
      </c>
      <c r="W20" s="12">
        <f t="shared" si="19"/>
        <v>0</v>
      </c>
      <c r="X20" s="12">
        <f t="shared" si="20"/>
        <v>2.599329640418091E-10</v>
      </c>
      <c r="Y20" s="12">
        <f t="shared" si="21"/>
        <v>-2.40459208100674E-10</v>
      </c>
      <c r="Z20" s="12">
        <f t="shared" si="22"/>
        <v>1.3631367146160756E-9</v>
      </c>
      <c r="AA20" s="12">
        <f t="shared" si="23"/>
        <v>-8.3538287398710054E-10</v>
      </c>
      <c r="AB20" s="12">
        <f t="shared" si="24"/>
        <v>7.6821216055122932E-10</v>
      </c>
      <c r="AC20" s="12">
        <f t="shared" si="25"/>
        <v>2.599329640418091E-10</v>
      </c>
      <c r="AD20" s="12">
        <f t="shared" si="26"/>
        <v>0</v>
      </c>
      <c r="AE20" s="14">
        <f t="shared" si="27"/>
        <v>1.8273223839420257E-9</v>
      </c>
      <c r="AF20" s="34">
        <f t="shared" ref="AF20:AF31" si="29">0.1*B20+0.15*C20+0.2*D20+0.25*E20+0.3*F20</f>
        <v>3.0000000000655689</v>
      </c>
      <c r="AG20" s="15">
        <f t="shared" si="28"/>
        <v>3</v>
      </c>
    </row>
    <row r="21" spans="1:33" x14ac:dyDescent="0.35">
      <c r="A21" s="13">
        <v>19</v>
      </c>
      <c r="B21" s="10">
        <v>2.9999999959562555</v>
      </c>
      <c r="C21" s="10">
        <v>3.0000000069429924</v>
      </c>
      <c r="D21" s="10">
        <v>2.9999999985891677</v>
      </c>
      <c r="E21" s="10">
        <v>2.9999999981559462</v>
      </c>
      <c r="F21" s="10">
        <v>3.000000000572248</v>
      </c>
      <c r="G21" s="9">
        <v>3</v>
      </c>
      <c r="H21" s="9">
        <v>3</v>
      </c>
      <c r="I21" s="9">
        <v>3</v>
      </c>
      <c r="J21" s="9">
        <v>3</v>
      </c>
      <c r="K21" s="9">
        <v>3</v>
      </c>
      <c r="L21" s="9">
        <v>3</v>
      </c>
      <c r="M21" s="9">
        <v>3</v>
      </c>
      <c r="N21" s="9">
        <v>3</v>
      </c>
      <c r="O21" s="11">
        <f t="array" ref="O21">MMULT(B21:F21,TRANSPOSE(Weight!$B$2:$F$2))</f>
        <v>3</v>
      </c>
      <c r="P21" s="11">
        <f t="array" ref="P21">MMULT(B21:F21,TRANSPOSE(Weight!$B$3:$F$3))</f>
        <v>3.000000000259933</v>
      </c>
      <c r="Q21" s="11">
        <f t="array" ref="Q21">MMULT(B21:F21,TRANSPOSE(Weight!$B$4:$F$4))</f>
        <v>2.9999999997595408</v>
      </c>
      <c r="R21" s="11">
        <f t="array" ref="R21">MMULT(B21:F21,TRANSPOSE(Weight!$B$5:$F$5))</f>
        <v>3.0000000013631367</v>
      </c>
      <c r="S21" s="11">
        <f t="array" ref="S21">MMULT(B21:F21,TRANSPOSE(Weight!$B$6:$F$6))</f>
        <v>2.9999999991646171</v>
      </c>
      <c r="T21" s="11">
        <f t="array" ref="T21">MMULT(B21:F21,TRANSPOSE(Weight!$B$7:$F$7))</f>
        <v>3.0000000007682122</v>
      </c>
      <c r="U21" s="11">
        <f t="array" ref="U21">MMULT(B21:F21,TRANSPOSE(Weight!$B$8:$F$8))</f>
        <v>3.000000000259933</v>
      </c>
      <c r="V21" s="11">
        <f t="array" ref="V21">MMULT(B21:F21,TRANSPOSE(Weight!$B$9:$F$9))</f>
        <v>2.9999999999999996</v>
      </c>
      <c r="W21" s="12">
        <f t="shared" ref="W21:W31" si="30">O21-G21</f>
        <v>0</v>
      </c>
      <c r="X21" s="12">
        <f t="shared" ref="X21:X31" si="31">P21-H21</f>
        <v>2.599329640418091E-10</v>
      </c>
      <c r="Y21" s="12">
        <f t="shared" ref="Y21:Y31" si="32">Q21-I21</f>
        <v>-2.40459208100674E-10</v>
      </c>
      <c r="Z21" s="12">
        <f t="shared" ref="Z21:Z31" si="33">R21-J21</f>
        <v>1.3631367146160756E-9</v>
      </c>
      <c r="AA21" s="12">
        <f t="shared" ref="AA21:AA31" si="34">S21-K21</f>
        <v>-8.3538287398710054E-10</v>
      </c>
      <c r="AB21" s="12">
        <f t="shared" ref="AB21:AB31" si="35">T21-L21</f>
        <v>7.6821216055122932E-10</v>
      </c>
      <c r="AC21" s="12">
        <f t="shared" ref="AC21:AC31" si="36">U21-M21</f>
        <v>2.599329640418091E-10</v>
      </c>
      <c r="AD21" s="12">
        <f t="shared" ref="AD21:AD31" si="37">V21-N21</f>
        <v>0</v>
      </c>
      <c r="AE21" s="14">
        <f t="shared" ref="AE21:AE31" si="38">SQRT(SUMSQ(W21:AD21))</f>
        <v>1.8273223839420257E-9</v>
      </c>
      <c r="AF21" s="34">
        <f t="shared" si="29"/>
        <v>3.0000000000655689</v>
      </c>
      <c r="AG21" s="15">
        <f t="shared" ref="AG21:AG31" si="39">AVERAGE(G21:N21)</f>
        <v>3</v>
      </c>
    </row>
    <row r="22" spans="1:33" x14ac:dyDescent="0.35">
      <c r="A22" s="13">
        <v>20</v>
      </c>
      <c r="B22" s="10">
        <v>2.9999999959562555</v>
      </c>
      <c r="C22" s="10">
        <v>3.0000000069429924</v>
      </c>
      <c r="D22" s="10">
        <v>2.9999999985891677</v>
      </c>
      <c r="E22" s="10">
        <v>2.9999999981559462</v>
      </c>
      <c r="F22" s="10">
        <v>3.000000000572248</v>
      </c>
      <c r="G22" s="9">
        <v>3</v>
      </c>
      <c r="H22" s="9">
        <v>3</v>
      </c>
      <c r="I22" s="9">
        <v>3</v>
      </c>
      <c r="J22" s="9">
        <v>3</v>
      </c>
      <c r="K22" s="9">
        <v>3</v>
      </c>
      <c r="L22" s="9">
        <v>3</v>
      </c>
      <c r="M22" s="9">
        <v>3</v>
      </c>
      <c r="N22" s="9">
        <v>3</v>
      </c>
      <c r="O22" s="11">
        <f t="array" ref="O22">MMULT(B22:F22,TRANSPOSE(Weight!$B$2:$F$2))</f>
        <v>3</v>
      </c>
      <c r="P22" s="11">
        <f t="array" ref="P22">MMULT(B22:F22,TRANSPOSE(Weight!$B$3:$F$3))</f>
        <v>3.000000000259933</v>
      </c>
      <c r="Q22" s="11">
        <f t="array" ref="Q22">MMULT(B22:F22,TRANSPOSE(Weight!$B$4:$F$4))</f>
        <v>2.9999999997595408</v>
      </c>
      <c r="R22" s="11">
        <f t="array" ref="R22">MMULT(B22:F22,TRANSPOSE(Weight!$B$5:$F$5))</f>
        <v>3.0000000013631367</v>
      </c>
      <c r="S22" s="11">
        <f t="array" ref="S22">MMULT(B22:F22,TRANSPOSE(Weight!$B$6:$F$6))</f>
        <v>2.9999999991646171</v>
      </c>
      <c r="T22" s="11">
        <f t="array" ref="T22">MMULT(B22:F22,TRANSPOSE(Weight!$B$7:$F$7))</f>
        <v>3.0000000007682122</v>
      </c>
      <c r="U22" s="11">
        <f t="array" ref="U22">MMULT(B22:F22,TRANSPOSE(Weight!$B$8:$F$8))</f>
        <v>3.000000000259933</v>
      </c>
      <c r="V22" s="11">
        <f t="array" ref="V22">MMULT(B22:F22,TRANSPOSE(Weight!$B$9:$F$9))</f>
        <v>2.9999999999999996</v>
      </c>
      <c r="W22" s="12">
        <f t="shared" si="30"/>
        <v>0</v>
      </c>
      <c r="X22" s="12">
        <f t="shared" si="31"/>
        <v>2.599329640418091E-10</v>
      </c>
      <c r="Y22" s="12">
        <f t="shared" si="32"/>
        <v>-2.40459208100674E-10</v>
      </c>
      <c r="Z22" s="12">
        <f t="shared" si="33"/>
        <v>1.3631367146160756E-9</v>
      </c>
      <c r="AA22" s="12">
        <f t="shared" si="34"/>
        <v>-8.3538287398710054E-10</v>
      </c>
      <c r="AB22" s="12">
        <f t="shared" si="35"/>
        <v>7.6821216055122932E-10</v>
      </c>
      <c r="AC22" s="12">
        <f t="shared" si="36"/>
        <v>2.599329640418091E-10</v>
      </c>
      <c r="AD22" s="12">
        <f t="shared" si="37"/>
        <v>0</v>
      </c>
      <c r="AE22" s="14">
        <f t="shared" si="38"/>
        <v>1.8273223839420257E-9</v>
      </c>
      <c r="AF22" s="34">
        <f t="shared" si="29"/>
        <v>3.0000000000655689</v>
      </c>
      <c r="AG22" s="15">
        <f t="shared" si="39"/>
        <v>3</v>
      </c>
    </row>
    <row r="23" spans="1:33" x14ac:dyDescent="0.35">
      <c r="A23" s="13">
        <v>21</v>
      </c>
      <c r="B23" s="10">
        <v>2.9999999959562555</v>
      </c>
      <c r="C23" s="10">
        <v>3.0000000069429924</v>
      </c>
      <c r="D23" s="10">
        <v>2.9999999985891677</v>
      </c>
      <c r="E23" s="10">
        <v>2.9999999981559462</v>
      </c>
      <c r="F23" s="10">
        <v>3.000000000572248</v>
      </c>
      <c r="G23" s="9">
        <v>3</v>
      </c>
      <c r="H23" s="9">
        <v>3</v>
      </c>
      <c r="I23" s="9">
        <v>3</v>
      </c>
      <c r="J23" s="9">
        <v>3</v>
      </c>
      <c r="K23" s="9">
        <v>3</v>
      </c>
      <c r="L23" s="9">
        <v>3</v>
      </c>
      <c r="M23" s="9">
        <v>3</v>
      </c>
      <c r="N23" s="9">
        <v>3</v>
      </c>
      <c r="O23" s="11">
        <f t="array" ref="O23">MMULT(B23:F23,TRANSPOSE(Weight!$B$2:$F$2))</f>
        <v>3</v>
      </c>
      <c r="P23" s="11">
        <f t="array" ref="P23">MMULT(B23:F23,TRANSPOSE(Weight!$B$3:$F$3))</f>
        <v>3.000000000259933</v>
      </c>
      <c r="Q23" s="11">
        <f t="array" ref="Q23">MMULT(B23:F23,TRANSPOSE(Weight!$B$4:$F$4))</f>
        <v>2.9999999997595408</v>
      </c>
      <c r="R23" s="11">
        <f t="array" ref="R23">MMULT(B23:F23,TRANSPOSE(Weight!$B$5:$F$5))</f>
        <v>3.0000000013631367</v>
      </c>
      <c r="S23" s="11">
        <f t="array" ref="S23">MMULT(B23:F23,TRANSPOSE(Weight!$B$6:$F$6))</f>
        <v>2.9999999991646171</v>
      </c>
      <c r="T23" s="11">
        <f t="array" ref="T23">MMULT(B23:F23,TRANSPOSE(Weight!$B$7:$F$7))</f>
        <v>3.0000000007682122</v>
      </c>
      <c r="U23" s="11">
        <f t="array" ref="U23">MMULT(B23:F23,TRANSPOSE(Weight!$B$8:$F$8))</f>
        <v>3.000000000259933</v>
      </c>
      <c r="V23" s="11">
        <f t="array" ref="V23">MMULT(B23:F23,TRANSPOSE(Weight!$B$9:$F$9))</f>
        <v>2.9999999999999996</v>
      </c>
      <c r="W23" s="12">
        <f t="shared" si="30"/>
        <v>0</v>
      </c>
      <c r="X23" s="12">
        <f t="shared" si="31"/>
        <v>2.599329640418091E-10</v>
      </c>
      <c r="Y23" s="12">
        <f t="shared" si="32"/>
        <v>-2.40459208100674E-10</v>
      </c>
      <c r="Z23" s="12">
        <f t="shared" si="33"/>
        <v>1.3631367146160756E-9</v>
      </c>
      <c r="AA23" s="12">
        <f t="shared" si="34"/>
        <v>-8.3538287398710054E-10</v>
      </c>
      <c r="AB23" s="12">
        <f t="shared" si="35"/>
        <v>7.6821216055122932E-10</v>
      </c>
      <c r="AC23" s="12">
        <f t="shared" si="36"/>
        <v>2.599329640418091E-10</v>
      </c>
      <c r="AD23" s="12">
        <f t="shared" si="37"/>
        <v>0</v>
      </c>
      <c r="AE23" s="14">
        <f t="shared" si="38"/>
        <v>1.8273223839420257E-9</v>
      </c>
      <c r="AF23" s="34">
        <f t="shared" si="29"/>
        <v>3.0000000000655689</v>
      </c>
      <c r="AG23" s="15">
        <f t="shared" si="39"/>
        <v>3</v>
      </c>
    </row>
    <row r="24" spans="1:33" x14ac:dyDescent="0.35">
      <c r="A24" s="13">
        <v>22</v>
      </c>
      <c r="B24" s="10">
        <v>2.9999999959562555</v>
      </c>
      <c r="C24" s="10">
        <v>3.0000000069429924</v>
      </c>
      <c r="D24" s="10">
        <v>2.9999999985891677</v>
      </c>
      <c r="E24" s="10">
        <v>2.9999999981559462</v>
      </c>
      <c r="F24" s="10">
        <v>3.000000000572248</v>
      </c>
      <c r="G24" s="9">
        <v>3</v>
      </c>
      <c r="H24" s="9">
        <v>3</v>
      </c>
      <c r="I24" s="9">
        <v>3</v>
      </c>
      <c r="J24" s="9">
        <v>3</v>
      </c>
      <c r="K24" s="9">
        <v>3</v>
      </c>
      <c r="L24" s="9">
        <v>3</v>
      </c>
      <c r="M24" s="9">
        <v>3</v>
      </c>
      <c r="N24" s="9">
        <v>3</v>
      </c>
      <c r="O24" s="11">
        <f t="array" ref="O24">MMULT(B24:F24,TRANSPOSE(Weight!$B$2:$F$2))</f>
        <v>3</v>
      </c>
      <c r="P24" s="11">
        <f t="array" ref="P24">MMULT(B24:F24,TRANSPOSE(Weight!$B$3:$F$3))</f>
        <v>3.000000000259933</v>
      </c>
      <c r="Q24" s="11">
        <f t="array" ref="Q24">MMULT(B24:F24,TRANSPOSE(Weight!$B$4:$F$4))</f>
        <v>2.9999999997595408</v>
      </c>
      <c r="R24" s="11">
        <f t="array" ref="R24">MMULT(B24:F24,TRANSPOSE(Weight!$B$5:$F$5))</f>
        <v>3.0000000013631367</v>
      </c>
      <c r="S24" s="11">
        <f t="array" ref="S24">MMULT(B24:F24,TRANSPOSE(Weight!$B$6:$F$6))</f>
        <v>2.9999999991646171</v>
      </c>
      <c r="T24" s="11">
        <f t="array" ref="T24">MMULT(B24:F24,TRANSPOSE(Weight!$B$7:$F$7))</f>
        <v>3.0000000007682122</v>
      </c>
      <c r="U24" s="11">
        <f t="array" ref="U24">MMULT(B24:F24,TRANSPOSE(Weight!$B$8:$F$8))</f>
        <v>3.000000000259933</v>
      </c>
      <c r="V24" s="11">
        <f t="array" ref="V24">MMULT(B24:F24,TRANSPOSE(Weight!$B$9:$F$9))</f>
        <v>2.9999999999999996</v>
      </c>
      <c r="W24" s="12">
        <f t="shared" si="30"/>
        <v>0</v>
      </c>
      <c r="X24" s="12">
        <f t="shared" si="31"/>
        <v>2.599329640418091E-10</v>
      </c>
      <c r="Y24" s="12">
        <f t="shared" si="32"/>
        <v>-2.40459208100674E-10</v>
      </c>
      <c r="Z24" s="12">
        <f t="shared" si="33"/>
        <v>1.3631367146160756E-9</v>
      </c>
      <c r="AA24" s="12">
        <f t="shared" si="34"/>
        <v>-8.3538287398710054E-10</v>
      </c>
      <c r="AB24" s="12">
        <f t="shared" si="35"/>
        <v>7.6821216055122932E-10</v>
      </c>
      <c r="AC24" s="12">
        <f t="shared" si="36"/>
        <v>2.599329640418091E-10</v>
      </c>
      <c r="AD24" s="12">
        <f t="shared" si="37"/>
        <v>0</v>
      </c>
      <c r="AE24" s="14">
        <f t="shared" si="38"/>
        <v>1.8273223839420257E-9</v>
      </c>
      <c r="AF24" s="34">
        <f t="shared" si="29"/>
        <v>3.0000000000655689</v>
      </c>
      <c r="AG24" s="15">
        <f t="shared" si="39"/>
        <v>3</v>
      </c>
    </row>
    <row r="25" spans="1:33" x14ac:dyDescent="0.35">
      <c r="A25" s="13">
        <v>23</v>
      </c>
      <c r="B25" s="10">
        <v>2.9999999959562555</v>
      </c>
      <c r="C25" s="10">
        <v>3.0000000069429924</v>
      </c>
      <c r="D25" s="10">
        <v>2.9999999985891677</v>
      </c>
      <c r="E25" s="10">
        <v>2.9999999981559462</v>
      </c>
      <c r="F25" s="10">
        <v>3.000000000572248</v>
      </c>
      <c r="G25" s="9">
        <v>3</v>
      </c>
      <c r="H25" s="9">
        <v>3</v>
      </c>
      <c r="I25" s="9">
        <v>3</v>
      </c>
      <c r="J25" s="9">
        <v>3</v>
      </c>
      <c r="K25" s="9">
        <v>3</v>
      </c>
      <c r="L25" s="9">
        <v>3</v>
      </c>
      <c r="M25" s="9">
        <v>3</v>
      </c>
      <c r="N25" s="9">
        <v>3</v>
      </c>
      <c r="O25" s="11">
        <f t="array" ref="O25">MMULT(B25:F25,TRANSPOSE(Weight!$B$2:$F$2))</f>
        <v>3</v>
      </c>
      <c r="P25" s="11">
        <f t="array" ref="P25">MMULT(B25:F25,TRANSPOSE(Weight!$B$3:$F$3))</f>
        <v>3.000000000259933</v>
      </c>
      <c r="Q25" s="11">
        <f t="array" ref="Q25">MMULT(B25:F25,TRANSPOSE(Weight!$B$4:$F$4))</f>
        <v>2.9999999997595408</v>
      </c>
      <c r="R25" s="11">
        <f t="array" ref="R25">MMULT(B25:F25,TRANSPOSE(Weight!$B$5:$F$5))</f>
        <v>3.0000000013631367</v>
      </c>
      <c r="S25" s="11">
        <f t="array" ref="S25">MMULT(B25:F25,TRANSPOSE(Weight!$B$6:$F$6))</f>
        <v>2.9999999991646171</v>
      </c>
      <c r="T25" s="11">
        <f t="array" ref="T25">MMULT(B25:F25,TRANSPOSE(Weight!$B$7:$F$7))</f>
        <v>3.0000000007682122</v>
      </c>
      <c r="U25" s="11">
        <f t="array" ref="U25">MMULT(B25:F25,TRANSPOSE(Weight!$B$8:$F$8))</f>
        <v>3.000000000259933</v>
      </c>
      <c r="V25" s="11">
        <f t="array" ref="V25">MMULT(B25:F25,TRANSPOSE(Weight!$B$9:$F$9))</f>
        <v>2.9999999999999996</v>
      </c>
      <c r="W25" s="12">
        <f t="shared" si="30"/>
        <v>0</v>
      </c>
      <c r="X25" s="12">
        <f t="shared" si="31"/>
        <v>2.599329640418091E-10</v>
      </c>
      <c r="Y25" s="12">
        <f t="shared" si="32"/>
        <v>-2.40459208100674E-10</v>
      </c>
      <c r="Z25" s="12">
        <f t="shared" si="33"/>
        <v>1.3631367146160756E-9</v>
      </c>
      <c r="AA25" s="12">
        <f t="shared" si="34"/>
        <v>-8.3538287398710054E-10</v>
      </c>
      <c r="AB25" s="12">
        <f t="shared" si="35"/>
        <v>7.6821216055122932E-10</v>
      </c>
      <c r="AC25" s="12">
        <f t="shared" si="36"/>
        <v>2.599329640418091E-10</v>
      </c>
      <c r="AD25" s="12">
        <f t="shared" si="37"/>
        <v>0</v>
      </c>
      <c r="AE25" s="14">
        <f t="shared" si="38"/>
        <v>1.8273223839420257E-9</v>
      </c>
      <c r="AF25" s="34">
        <f t="shared" si="29"/>
        <v>3.0000000000655689</v>
      </c>
      <c r="AG25" s="15">
        <f t="shared" si="39"/>
        <v>3</v>
      </c>
    </row>
    <row r="26" spans="1:33" x14ac:dyDescent="0.35">
      <c r="A26" s="13">
        <v>24</v>
      </c>
      <c r="B26" s="10">
        <v>2.9999999959562555</v>
      </c>
      <c r="C26" s="10">
        <v>3.0000000069429924</v>
      </c>
      <c r="D26" s="10">
        <v>2.9999999985891677</v>
      </c>
      <c r="E26" s="10">
        <v>2.9999999981559462</v>
      </c>
      <c r="F26" s="10">
        <v>3.000000000572248</v>
      </c>
      <c r="G26" s="9">
        <v>3</v>
      </c>
      <c r="H26" s="9">
        <v>3</v>
      </c>
      <c r="I26" s="9">
        <v>3</v>
      </c>
      <c r="J26" s="9">
        <v>3</v>
      </c>
      <c r="K26" s="9">
        <v>3</v>
      </c>
      <c r="L26" s="9">
        <v>3</v>
      </c>
      <c r="M26" s="9">
        <v>3</v>
      </c>
      <c r="N26" s="9">
        <v>3</v>
      </c>
      <c r="O26" s="11">
        <f t="array" ref="O26">MMULT(B26:F26,TRANSPOSE(Weight!$B$2:$F$2))</f>
        <v>3</v>
      </c>
      <c r="P26" s="11">
        <f t="array" ref="P26">MMULT(B26:F26,TRANSPOSE(Weight!$B$3:$F$3))</f>
        <v>3.000000000259933</v>
      </c>
      <c r="Q26" s="11">
        <f t="array" ref="Q26">MMULT(B26:F26,TRANSPOSE(Weight!$B$4:$F$4))</f>
        <v>2.9999999997595408</v>
      </c>
      <c r="R26" s="11">
        <f t="array" ref="R26">MMULT(B26:F26,TRANSPOSE(Weight!$B$5:$F$5))</f>
        <v>3.0000000013631367</v>
      </c>
      <c r="S26" s="11">
        <f t="array" ref="S26">MMULT(B26:F26,TRANSPOSE(Weight!$B$6:$F$6))</f>
        <v>2.9999999991646171</v>
      </c>
      <c r="T26" s="11">
        <f t="array" ref="T26">MMULT(B26:F26,TRANSPOSE(Weight!$B$7:$F$7))</f>
        <v>3.0000000007682122</v>
      </c>
      <c r="U26" s="11">
        <f t="array" ref="U26">MMULT(B26:F26,TRANSPOSE(Weight!$B$8:$F$8))</f>
        <v>3.000000000259933</v>
      </c>
      <c r="V26" s="11">
        <f t="array" ref="V26">MMULT(B26:F26,TRANSPOSE(Weight!$B$9:$F$9))</f>
        <v>2.9999999999999996</v>
      </c>
      <c r="W26" s="12">
        <f t="shared" si="30"/>
        <v>0</v>
      </c>
      <c r="X26" s="12">
        <f t="shared" si="31"/>
        <v>2.599329640418091E-10</v>
      </c>
      <c r="Y26" s="12">
        <f t="shared" si="32"/>
        <v>-2.40459208100674E-10</v>
      </c>
      <c r="Z26" s="12">
        <f t="shared" si="33"/>
        <v>1.3631367146160756E-9</v>
      </c>
      <c r="AA26" s="12">
        <f t="shared" si="34"/>
        <v>-8.3538287398710054E-10</v>
      </c>
      <c r="AB26" s="12">
        <f t="shared" si="35"/>
        <v>7.6821216055122932E-10</v>
      </c>
      <c r="AC26" s="12">
        <f t="shared" si="36"/>
        <v>2.599329640418091E-10</v>
      </c>
      <c r="AD26" s="12">
        <f t="shared" si="37"/>
        <v>0</v>
      </c>
      <c r="AE26" s="14">
        <f t="shared" si="38"/>
        <v>1.8273223839420257E-9</v>
      </c>
      <c r="AF26" s="34">
        <f t="shared" si="29"/>
        <v>3.0000000000655689</v>
      </c>
      <c r="AG26" s="15">
        <f t="shared" si="39"/>
        <v>3</v>
      </c>
    </row>
    <row r="27" spans="1:33" x14ac:dyDescent="0.35">
      <c r="A27" s="13">
        <v>25</v>
      </c>
      <c r="B27" s="10">
        <v>2.9999999959562555</v>
      </c>
      <c r="C27" s="10">
        <v>3.0000000069429924</v>
      </c>
      <c r="D27" s="10">
        <v>2.9999999985891677</v>
      </c>
      <c r="E27" s="10">
        <v>2.9999999981559462</v>
      </c>
      <c r="F27" s="10">
        <v>3.000000000572248</v>
      </c>
      <c r="G27" s="9">
        <v>3</v>
      </c>
      <c r="H27" s="9">
        <v>3</v>
      </c>
      <c r="I27" s="9">
        <v>3</v>
      </c>
      <c r="J27" s="9">
        <v>3</v>
      </c>
      <c r="K27" s="9">
        <v>3</v>
      </c>
      <c r="L27" s="9">
        <v>3</v>
      </c>
      <c r="M27" s="9">
        <v>3</v>
      </c>
      <c r="N27" s="9">
        <v>3</v>
      </c>
      <c r="O27" s="11">
        <f t="array" ref="O27">MMULT(B27:F27,TRANSPOSE(Weight!$B$2:$F$2))</f>
        <v>3</v>
      </c>
      <c r="P27" s="11">
        <f t="array" ref="P27">MMULT(B27:F27,TRANSPOSE(Weight!$B$3:$F$3))</f>
        <v>3.000000000259933</v>
      </c>
      <c r="Q27" s="11">
        <f t="array" ref="Q27">MMULT(B27:F27,TRANSPOSE(Weight!$B$4:$F$4))</f>
        <v>2.9999999997595408</v>
      </c>
      <c r="R27" s="11">
        <f t="array" ref="R27">MMULT(B27:F27,TRANSPOSE(Weight!$B$5:$F$5))</f>
        <v>3.0000000013631367</v>
      </c>
      <c r="S27" s="11">
        <f t="array" ref="S27">MMULT(B27:F27,TRANSPOSE(Weight!$B$6:$F$6))</f>
        <v>2.9999999991646171</v>
      </c>
      <c r="T27" s="11">
        <f t="array" ref="T27">MMULT(B27:F27,TRANSPOSE(Weight!$B$7:$F$7))</f>
        <v>3.0000000007682122</v>
      </c>
      <c r="U27" s="11">
        <f t="array" ref="U27">MMULT(B27:F27,TRANSPOSE(Weight!$B$8:$F$8))</f>
        <v>3.000000000259933</v>
      </c>
      <c r="V27" s="11">
        <f t="array" ref="V27">MMULT(B27:F27,TRANSPOSE(Weight!$B$9:$F$9))</f>
        <v>2.9999999999999996</v>
      </c>
      <c r="W27" s="12">
        <f t="shared" si="30"/>
        <v>0</v>
      </c>
      <c r="X27" s="12">
        <f t="shared" si="31"/>
        <v>2.599329640418091E-10</v>
      </c>
      <c r="Y27" s="12">
        <f t="shared" si="32"/>
        <v>-2.40459208100674E-10</v>
      </c>
      <c r="Z27" s="12">
        <f t="shared" si="33"/>
        <v>1.3631367146160756E-9</v>
      </c>
      <c r="AA27" s="12">
        <f t="shared" si="34"/>
        <v>-8.3538287398710054E-10</v>
      </c>
      <c r="AB27" s="12">
        <f t="shared" si="35"/>
        <v>7.6821216055122932E-10</v>
      </c>
      <c r="AC27" s="12">
        <f t="shared" si="36"/>
        <v>2.599329640418091E-10</v>
      </c>
      <c r="AD27" s="12">
        <f t="shared" si="37"/>
        <v>0</v>
      </c>
      <c r="AE27" s="14">
        <f t="shared" si="38"/>
        <v>1.8273223839420257E-9</v>
      </c>
      <c r="AF27" s="34">
        <f t="shared" si="29"/>
        <v>3.0000000000655689</v>
      </c>
      <c r="AG27" s="15">
        <f t="shared" si="39"/>
        <v>3</v>
      </c>
    </row>
    <row r="28" spans="1:33" x14ac:dyDescent="0.35">
      <c r="A28" s="13">
        <v>26</v>
      </c>
      <c r="B28" s="10">
        <v>2.9999999959562555</v>
      </c>
      <c r="C28" s="10">
        <v>3.0000000069429924</v>
      </c>
      <c r="D28" s="10">
        <v>2.9999999985891677</v>
      </c>
      <c r="E28" s="10">
        <v>2.9999999981559462</v>
      </c>
      <c r="F28" s="10">
        <v>3.000000000572248</v>
      </c>
      <c r="G28" s="9">
        <v>3</v>
      </c>
      <c r="H28" s="9">
        <v>3</v>
      </c>
      <c r="I28" s="9">
        <v>3</v>
      </c>
      <c r="J28" s="9">
        <v>3</v>
      </c>
      <c r="K28" s="9">
        <v>3</v>
      </c>
      <c r="L28" s="9">
        <v>3</v>
      </c>
      <c r="M28" s="9">
        <v>3</v>
      </c>
      <c r="N28" s="9">
        <v>3</v>
      </c>
      <c r="O28" s="11">
        <f t="array" ref="O28">MMULT(B28:F28,TRANSPOSE(Weight!$B$2:$F$2))</f>
        <v>3</v>
      </c>
      <c r="P28" s="11">
        <f t="array" ref="P28">MMULT(B28:F28,TRANSPOSE(Weight!$B$3:$F$3))</f>
        <v>3.000000000259933</v>
      </c>
      <c r="Q28" s="11">
        <f t="array" ref="Q28">MMULT(B28:F28,TRANSPOSE(Weight!$B$4:$F$4))</f>
        <v>2.9999999997595408</v>
      </c>
      <c r="R28" s="11">
        <f t="array" ref="R28">MMULT(B28:F28,TRANSPOSE(Weight!$B$5:$F$5))</f>
        <v>3.0000000013631367</v>
      </c>
      <c r="S28" s="11">
        <f t="array" ref="S28">MMULT(B28:F28,TRANSPOSE(Weight!$B$6:$F$6))</f>
        <v>2.9999999991646171</v>
      </c>
      <c r="T28" s="11">
        <f t="array" ref="T28">MMULT(B28:F28,TRANSPOSE(Weight!$B$7:$F$7))</f>
        <v>3.0000000007682122</v>
      </c>
      <c r="U28" s="11">
        <f t="array" ref="U28">MMULT(B28:F28,TRANSPOSE(Weight!$B$8:$F$8))</f>
        <v>3.000000000259933</v>
      </c>
      <c r="V28" s="11">
        <f t="array" ref="V28">MMULT(B28:F28,TRANSPOSE(Weight!$B$9:$F$9))</f>
        <v>2.9999999999999996</v>
      </c>
      <c r="W28" s="12">
        <f t="shared" si="30"/>
        <v>0</v>
      </c>
      <c r="X28" s="12">
        <f t="shared" si="31"/>
        <v>2.599329640418091E-10</v>
      </c>
      <c r="Y28" s="12">
        <f t="shared" si="32"/>
        <v>-2.40459208100674E-10</v>
      </c>
      <c r="Z28" s="12">
        <f t="shared" si="33"/>
        <v>1.3631367146160756E-9</v>
      </c>
      <c r="AA28" s="12">
        <f t="shared" si="34"/>
        <v>-8.3538287398710054E-10</v>
      </c>
      <c r="AB28" s="12">
        <f t="shared" si="35"/>
        <v>7.6821216055122932E-10</v>
      </c>
      <c r="AC28" s="12">
        <f t="shared" si="36"/>
        <v>2.599329640418091E-10</v>
      </c>
      <c r="AD28" s="12">
        <f t="shared" si="37"/>
        <v>0</v>
      </c>
      <c r="AE28" s="14">
        <f t="shared" si="38"/>
        <v>1.8273223839420257E-9</v>
      </c>
      <c r="AF28" s="34">
        <f t="shared" si="29"/>
        <v>3.0000000000655689</v>
      </c>
      <c r="AG28" s="15">
        <f t="shared" si="39"/>
        <v>3</v>
      </c>
    </row>
    <row r="29" spans="1:33" x14ac:dyDescent="0.35">
      <c r="A29" s="13">
        <v>27</v>
      </c>
      <c r="B29" s="10">
        <v>2.9999999959562555</v>
      </c>
      <c r="C29" s="10">
        <v>3.0000000069429924</v>
      </c>
      <c r="D29" s="10">
        <v>2.9999999985891677</v>
      </c>
      <c r="E29" s="10">
        <v>2.9999999981559462</v>
      </c>
      <c r="F29" s="10">
        <v>3.000000000572248</v>
      </c>
      <c r="G29" s="9">
        <v>3</v>
      </c>
      <c r="H29" s="9">
        <v>3</v>
      </c>
      <c r="I29" s="9">
        <v>3</v>
      </c>
      <c r="J29" s="9">
        <v>3</v>
      </c>
      <c r="K29" s="9">
        <v>3</v>
      </c>
      <c r="L29" s="9">
        <v>3</v>
      </c>
      <c r="M29" s="9">
        <v>3</v>
      </c>
      <c r="N29" s="9">
        <v>3</v>
      </c>
      <c r="O29" s="11">
        <f t="array" ref="O29">MMULT(B29:F29,TRANSPOSE(Weight!$B$2:$F$2))</f>
        <v>3</v>
      </c>
      <c r="P29" s="11">
        <f t="array" ref="P29">MMULT(B29:F29,TRANSPOSE(Weight!$B$3:$F$3))</f>
        <v>3.000000000259933</v>
      </c>
      <c r="Q29" s="11">
        <f t="array" ref="Q29">MMULT(B29:F29,TRANSPOSE(Weight!$B$4:$F$4))</f>
        <v>2.9999999997595408</v>
      </c>
      <c r="R29" s="11">
        <f t="array" ref="R29">MMULT(B29:F29,TRANSPOSE(Weight!$B$5:$F$5))</f>
        <v>3.0000000013631367</v>
      </c>
      <c r="S29" s="11">
        <f t="array" ref="S29">MMULT(B29:F29,TRANSPOSE(Weight!$B$6:$F$6))</f>
        <v>2.9999999991646171</v>
      </c>
      <c r="T29" s="11">
        <f t="array" ref="T29">MMULT(B29:F29,TRANSPOSE(Weight!$B$7:$F$7))</f>
        <v>3.0000000007682122</v>
      </c>
      <c r="U29" s="11">
        <f t="array" ref="U29">MMULT(B29:F29,TRANSPOSE(Weight!$B$8:$F$8))</f>
        <v>3.000000000259933</v>
      </c>
      <c r="V29" s="11">
        <f t="array" ref="V29">MMULT(B29:F29,TRANSPOSE(Weight!$B$9:$F$9))</f>
        <v>2.9999999999999996</v>
      </c>
      <c r="W29" s="12">
        <f t="shared" si="30"/>
        <v>0</v>
      </c>
      <c r="X29" s="12">
        <f t="shared" si="31"/>
        <v>2.599329640418091E-10</v>
      </c>
      <c r="Y29" s="12">
        <f t="shared" si="32"/>
        <v>-2.40459208100674E-10</v>
      </c>
      <c r="Z29" s="12">
        <f t="shared" si="33"/>
        <v>1.3631367146160756E-9</v>
      </c>
      <c r="AA29" s="12">
        <f t="shared" si="34"/>
        <v>-8.3538287398710054E-10</v>
      </c>
      <c r="AB29" s="12">
        <f t="shared" si="35"/>
        <v>7.6821216055122932E-10</v>
      </c>
      <c r="AC29" s="12">
        <f t="shared" si="36"/>
        <v>2.599329640418091E-10</v>
      </c>
      <c r="AD29" s="12">
        <f t="shared" si="37"/>
        <v>0</v>
      </c>
      <c r="AE29" s="14">
        <f t="shared" si="38"/>
        <v>1.8273223839420257E-9</v>
      </c>
      <c r="AF29" s="34">
        <f t="shared" si="29"/>
        <v>3.0000000000655689</v>
      </c>
      <c r="AG29" s="15">
        <f t="shared" si="39"/>
        <v>3</v>
      </c>
    </row>
    <row r="30" spans="1:33" x14ac:dyDescent="0.35">
      <c r="A30" s="13">
        <v>28</v>
      </c>
      <c r="B30" s="10">
        <v>2.9999999959562555</v>
      </c>
      <c r="C30" s="10">
        <v>3.0000000069429924</v>
      </c>
      <c r="D30" s="10">
        <v>2.9999999985891677</v>
      </c>
      <c r="E30" s="10">
        <v>2.9999999981559462</v>
      </c>
      <c r="F30" s="10">
        <v>3.000000000572248</v>
      </c>
      <c r="G30" s="9">
        <v>3</v>
      </c>
      <c r="H30" s="9">
        <v>3</v>
      </c>
      <c r="I30" s="9">
        <v>3</v>
      </c>
      <c r="J30" s="9">
        <v>3</v>
      </c>
      <c r="K30" s="9">
        <v>3</v>
      </c>
      <c r="L30" s="9">
        <v>3</v>
      </c>
      <c r="M30" s="9">
        <v>3</v>
      </c>
      <c r="N30" s="9">
        <v>3</v>
      </c>
      <c r="O30" s="11">
        <f t="array" ref="O30">MMULT(B30:F30,TRANSPOSE(Weight!$B$2:$F$2))</f>
        <v>3</v>
      </c>
      <c r="P30" s="11">
        <f t="array" ref="P30">MMULT(B30:F30,TRANSPOSE(Weight!$B$3:$F$3))</f>
        <v>3.000000000259933</v>
      </c>
      <c r="Q30" s="11">
        <f t="array" ref="Q30">MMULT(B30:F30,TRANSPOSE(Weight!$B$4:$F$4))</f>
        <v>2.9999999997595408</v>
      </c>
      <c r="R30" s="11">
        <f t="array" ref="R30">MMULT(B30:F30,TRANSPOSE(Weight!$B$5:$F$5))</f>
        <v>3.0000000013631367</v>
      </c>
      <c r="S30" s="11">
        <f t="array" ref="S30">MMULT(B30:F30,TRANSPOSE(Weight!$B$6:$F$6))</f>
        <v>2.9999999991646171</v>
      </c>
      <c r="T30" s="11">
        <f t="array" ref="T30">MMULT(B30:F30,TRANSPOSE(Weight!$B$7:$F$7))</f>
        <v>3.0000000007682122</v>
      </c>
      <c r="U30" s="11">
        <f t="array" ref="U30">MMULT(B30:F30,TRANSPOSE(Weight!$B$8:$F$8))</f>
        <v>3.000000000259933</v>
      </c>
      <c r="V30" s="11">
        <f t="array" ref="V30">MMULT(B30:F30,TRANSPOSE(Weight!$B$9:$F$9))</f>
        <v>2.9999999999999996</v>
      </c>
      <c r="W30" s="12">
        <f t="shared" si="30"/>
        <v>0</v>
      </c>
      <c r="X30" s="12">
        <f t="shared" si="31"/>
        <v>2.599329640418091E-10</v>
      </c>
      <c r="Y30" s="12">
        <f t="shared" si="32"/>
        <v>-2.40459208100674E-10</v>
      </c>
      <c r="Z30" s="12">
        <f t="shared" si="33"/>
        <v>1.3631367146160756E-9</v>
      </c>
      <c r="AA30" s="12">
        <f t="shared" si="34"/>
        <v>-8.3538287398710054E-10</v>
      </c>
      <c r="AB30" s="12">
        <f t="shared" si="35"/>
        <v>7.6821216055122932E-10</v>
      </c>
      <c r="AC30" s="12">
        <f t="shared" si="36"/>
        <v>2.599329640418091E-10</v>
      </c>
      <c r="AD30" s="12">
        <f t="shared" si="37"/>
        <v>0</v>
      </c>
      <c r="AE30" s="14">
        <f t="shared" si="38"/>
        <v>1.8273223839420257E-9</v>
      </c>
      <c r="AF30" s="34">
        <f t="shared" si="29"/>
        <v>3.0000000000655689</v>
      </c>
      <c r="AG30" s="15">
        <f t="shared" si="39"/>
        <v>3</v>
      </c>
    </row>
    <row r="31" spans="1:33" x14ac:dyDescent="0.35">
      <c r="A31" s="13">
        <v>29</v>
      </c>
      <c r="B31" s="10">
        <v>2.9999999959562555</v>
      </c>
      <c r="C31" s="10">
        <v>3.0000000069429924</v>
      </c>
      <c r="D31" s="10">
        <v>2.9999999985891677</v>
      </c>
      <c r="E31" s="10">
        <v>2.9999999981559462</v>
      </c>
      <c r="F31" s="10">
        <v>3.000000000572248</v>
      </c>
      <c r="G31" s="9">
        <v>3</v>
      </c>
      <c r="H31" s="9">
        <v>3</v>
      </c>
      <c r="I31" s="9">
        <v>3</v>
      </c>
      <c r="J31" s="9">
        <v>3</v>
      </c>
      <c r="K31" s="9">
        <v>3</v>
      </c>
      <c r="L31" s="9">
        <v>3</v>
      </c>
      <c r="M31" s="9">
        <v>3</v>
      </c>
      <c r="N31" s="9">
        <v>3</v>
      </c>
      <c r="O31" s="11">
        <f t="array" ref="O31">MMULT(B31:F31,TRANSPOSE(Weight!$B$2:$F$2))</f>
        <v>3</v>
      </c>
      <c r="P31" s="11">
        <f t="array" ref="P31">MMULT(B31:F31,TRANSPOSE(Weight!$B$3:$F$3))</f>
        <v>3.000000000259933</v>
      </c>
      <c r="Q31" s="11">
        <f t="array" ref="Q31">MMULT(B31:F31,TRANSPOSE(Weight!$B$4:$F$4))</f>
        <v>2.9999999997595408</v>
      </c>
      <c r="R31" s="11">
        <f t="array" ref="R31">MMULT(B31:F31,TRANSPOSE(Weight!$B$5:$F$5))</f>
        <v>3.0000000013631367</v>
      </c>
      <c r="S31" s="11">
        <f t="array" ref="S31">MMULT(B31:F31,TRANSPOSE(Weight!$B$6:$F$6))</f>
        <v>2.9999999991646171</v>
      </c>
      <c r="T31" s="11">
        <f t="array" ref="T31">MMULT(B31:F31,TRANSPOSE(Weight!$B$7:$F$7))</f>
        <v>3.0000000007682122</v>
      </c>
      <c r="U31" s="11">
        <f t="array" ref="U31">MMULT(B31:F31,TRANSPOSE(Weight!$B$8:$F$8))</f>
        <v>3.000000000259933</v>
      </c>
      <c r="V31" s="11">
        <f t="array" ref="V31">MMULT(B31:F31,TRANSPOSE(Weight!$B$9:$F$9))</f>
        <v>2.9999999999999996</v>
      </c>
      <c r="W31" s="12">
        <f t="shared" si="30"/>
        <v>0</v>
      </c>
      <c r="X31" s="12">
        <f t="shared" si="31"/>
        <v>2.599329640418091E-10</v>
      </c>
      <c r="Y31" s="12">
        <f t="shared" si="32"/>
        <v>-2.40459208100674E-10</v>
      </c>
      <c r="Z31" s="12">
        <f t="shared" si="33"/>
        <v>1.3631367146160756E-9</v>
      </c>
      <c r="AA31" s="12">
        <f t="shared" si="34"/>
        <v>-8.3538287398710054E-10</v>
      </c>
      <c r="AB31" s="12">
        <f t="shared" si="35"/>
        <v>7.6821216055122932E-10</v>
      </c>
      <c r="AC31" s="12">
        <f t="shared" si="36"/>
        <v>2.599329640418091E-10</v>
      </c>
      <c r="AD31" s="12">
        <f t="shared" si="37"/>
        <v>0</v>
      </c>
      <c r="AE31" s="14">
        <f t="shared" si="38"/>
        <v>1.8273223839420257E-9</v>
      </c>
      <c r="AF31" s="34">
        <f t="shared" si="29"/>
        <v>3.0000000000655689</v>
      </c>
      <c r="AG31" s="15">
        <f t="shared" si="39"/>
        <v>3</v>
      </c>
    </row>
    <row r="32" spans="1:33" x14ac:dyDescent="0.35">
      <c r="A32" s="13">
        <v>30</v>
      </c>
      <c r="B32" s="10">
        <v>2.9999999959562555</v>
      </c>
      <c r="C32" s="10">
        <v>3.0000000069429924</v>
      </c>
      <c r="D32" s="10">
        <v>2.9999999985891677</v>
      </c>
      <c r="E32" s="10">
        <v>2.9999999981559462</v>
      </c>
      <c r="F32" s="10">
        <v>3.000000000572248</v>
      </c>
      <c r="G32" s="9">
        <v>3</v>
      </c>
      <c r="H32" s="9">
        <v>3</v>
      </c>
      <c r="I32" s="9">
        <v>3</v>
      </c>
      <c r="J32" s="9">
        <v>3</v>
      </c>
      <c r="K32" s="9">
        <v>3</v>
      </c>
      <c r="L32" s="9">
        <v>3</v>
      </c>
      <c r="M32" s="9">
        <v>3</v>
      </c>
      <c r="N32" s="9">
        <v>3</v>
      </c>
      <c r="O32" s="11">
        <f t="array" ref="O32">MMULT(B32:F32,TRANSPOSE(Weight!$B$2:$F$2))</f>
        <v>3</v>
      </c>
      <c r="P32" s="11">
        <f t="array" ref="P32">MMULT(B32:F32,TRANSPOSE(Weight!$B$3:$F$3))</f>
        <v>3.000000000259933</v>
      </c>
      <c r="Q32" s="11">
        <f t="array" ref="Q32">MMULT(B32:F32,TRANSPOSE(Weight!$B$4:$F$4))</f>
        <v>2.9999999997595408</v>
      </c>
      <c r="R32" s="11">
        <f t="array" ref="R32">MMULT(B32:F32,TRANSPOSE(Weight!$B$5:$F$5))</f>
        <v>3.0000000013631367</v>
      </c>
      <c r="S32" s="11">
        <f t="array" ref="S32">MMULT(B32:F32,TRANSPOSE(Weight!$B$6:$F$6))</f>
        <v>2.9999999991646171</v>
      </c>
      <c r="T32" s="11">
        <f t="array" ref="T32">MMULT(B32:F32,TRANSPOSE(Weight!$B$7:$F$7))</f>
        <v>3.0000000007682122</v>
      </c>
      <c r="U32" s="11">
        <f t="array" ref="U32">MMULT(B32:F32,TRANSPOSE(Weight!$B$8:$F$8))</f>
        <v>3.000000000259933</v>
      </c>
      <c r="V32" s="11">
        <f t="array" ref="V32">MMULT(B32:F32,TRANSPOSE(Weight!$B$9:$F$9))</f>
        <v>2.9999999999999996</v>
      </c>
      <c r="W32" s="12">
        <f t="shared" ref="W32" si="40">O32-G32</f>
        <v>0</v>
      </c>
      <c r="X32" s="12">
        <f t="shared" ref="X32" si="41">P32-H32</f>
        <v>2.599329640418091E-10</v>
      </c>
      <c r="Y32" s="12">
        <f t="shared" ref="Y32" si="42">Q32-I32</f>
        <v>-2.40459208100674E-10</v>
      </c>
      <c r="Z32" s="12">
        <f t="shared" ref="Z32" si="43">R32-J32</f>
        <v>1.3631367146160756E-9</v>
      </c>
      <c r="AA32" s="12">
        <f t="shared" ref="AA32" si="44">S32-K32</f>
        <v>-8.3538287398710054E-10</v>
      </c>
      <c r="AB32" s="12">
        <f t="shared" ref="AB32" si="45">T32-L32</f>
        <v>7.6821216055122932E-10</v>
      </c>
      <c r="AC32" s="12">
        <f t="shared" ref="AC32" si="46">U32-M32</f>
        <v>2.599329640418091E-10</v>
      </c>
      <c r="AD32" s="12">
        <f t="shared" ref="AD32" si="47">V32-N32</f>
        <v>0</v>
      </c>
      <c r="AE32" s="14">
        <f t="shared" ref="AE32" si="48">SQRT(SUMSQ(W32:AD32))</f>
        <v>1.8273223839420257E-9</v>
      </c>
      <c r="AF32" s="34">
        <f t="shared" ref="AF32" si="49">0.1*B32+0.15*C32+0.2*D32+0.25*E32+0.3*F32</f>
        <v>3.0000000000655689</v>
      </c>
      <c r="AG32" s="15">
        <f t="shared" ref="AG32" si="50">AVERAGE(G32:N32)</f>
        <v>3</v>
      </c>
    </row>
    <row r="302" spans="30:31" x14ac:dyDescent="0.35">
      <c r="AD302">
        <v>0</v>
      </c>
      <c r="AE302">
        <v>0</v>
      </c>
    </row>
    <row r="303" spans="30:31" x14ac:dyDescent="0.35">
      <c r="AD303">
        <v>0</v>
      </c>
      <c r="AE303">
        <v>0</v>
      </c>
    </row>
    <row r="304" spans="30:31" x14ac:dyDescent="0.35">
      <c r="AD304">
        <v>0</v>
      </c>
      <c r="AE304">
        <v>0</v>
      </c>
    </row>
    <row r="305" spans="30:31" x14ac:dyDescent="0.35">
      <c r="AD305">
        <v>0</v>
      </c>
      <c r="AE305">
        <v>0</v>
      </c>
    </row>
    <row r="306" spans="30:31" x14ac:dyDescent="0.35">
      <c r="AD306">
        <v>0</v>
      </c>
      <c r="AE306">
        <v>0</v>
      </c>
    </row>
    <row r="307" spans="30:31" x14ac:dyDescent="0.35">
      <c r="AD307">
        <v>0</v>
      </c>
      <c r="AE307">
        <v>0</v>
      </c>
    </row>
    <row r="308" spans="30:31" x14ac:dyDescent="0.35">
      <c r="AD308">
        <v>0</v>
      </c>
      <c r="AE308">
        <v>0</v>
      </c>
    </row>
    <row r="309" spans="30:31" x14ac:dyDescent="0.35">
      <c r="AD309">
        <v>0</v>
      </c>
      <c r="AE309">
        <v>0</v>
      </c>
    </row>
    <row r="310" spans="30:31" x14ac:dyDescent="0.35">
      <c r="AD310">
        <v>0</v>
      </c>
      <c r="AE310">
        <v>0</v>
      </c>
    </row>
  </sheetData>
  <mergeCells count="4">
    <mergeCell ref="B1:F1"/>
    <mergeCell ref="G1:N1"/>
    <mergeCell ref="O1:V1"/>
    <mergeCell ref="W1:AD1"/>
  </mergeCells>
  <pageMargins left="0.7" right="0.7" top="0.75" bottom="0.75" header="0.3" footer="0.3"/>
  <pageSetup orientation="portrait" horizontalDpi="0" verticalDpi="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Input</vt:lpstr>
      <vt:lpstr>Weight</vt:lpstr>
      <vt:lpstr>Simulation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Jia Wang</dc:creator>
  <cp:lastModifiedBy>Jia Wang</cp:lastModifiedBy>
  <dcterms:created xsi:type="dcterms:W3CDTF">2018-06-28T18:49:57Z</dcterms:created>
  <dcterms:modified xsi:type="dcterms:W3CDTF">2018-07-06T15:46:38Z</dcterms:modified>
</cp:coreProperties>
</file>